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яснения" sheetId="1" state="visible" r:id="rId3"/>
    <sheet name="Сетка по кабинетам" sheetId="2" state="visible" r:id="rId4"/>
    <sheet name="По врачам" sheetId="3" state="visible" r:id="rId5"/>
    <sheet name="Покрытие" sheetId="4" state="visible" r:id="rId6"/>
    <sheet name="Кабинеты" sheetId="5" state="visible" r:id="rId7"/>
    <sheet name="Слоты (для БД)" sheetId="6" state="visible" r:id="rId8"/>
  </sheets>
  <definedNames>
    <definedName function="false" hidden="true" localSheetId="5" name="_xlnm._FilterDatabase" vbProcedure="false">'Слоты (для БД)'!$A$1:$I$181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<sst xmlns="http://schemas.openxmlformats.org/spreadsheetml/2006/main" count="1878" uniqueCount="187">
  <si>
    <t xml:space="preserve">Расписание медклиники: 30 врачей, 20 кабинетов, 08:00–20:00 ежедневно</t>
  </si>
  <si>
    <t xml:space="preserve">Как устроено</t>
  </si>
  <si>
    <t xml:space="preserve">• День делится на две смены: утро 08:00–14:00 и вечер 14:00–20:00. Каждый врач работает 6 смен по 6 ч = 36 ч/нед (норма для медработников — до 39 ч).</t>
  </si>
  <si>
    <t xml:space="preserve">• В кабинете, как правило, два врача одного профиля. В будни они чередуются: один — утро Пн/Ср/Пт и вечер Вт/Чт, второй — наоборот. Так у каждой узкой специальности каждый будний день есть приём, а пациенту доступны и утро, и вечер.</t>
  </si>
  <si>
    <t xml:space="preserve">• Шестая смена у каждого врача — в субботу или воскресенье. Выходные работают в сокращённом составе: в субботу утром — почти все узкие специалисты, в субботу вечером — терапевт, педиатр, хирург, ортопед и несколько консультантов; в воскресенье — утренний приём основных профилей, вечером дежурят терапевт и педиатр.</t>
  </si>
  <si>
    <t xml:space="preserve">• У каждого врача 1 выходной в неделю; минимальный отдых между сменами — 12 ч (вечер → утро следующего дня).</t>
  </si>
  <si>
    <t xml:space="preserve">• 17 кабинетов — врачебные, 3 — сестринские (процедурный, прививочный, функциональной диагностики), работают 08–20 ежедневно.</t>
  </si>
  <si>
    <t xml:space="preserve">• Детский приём (кабинеты 201–204) выделен в отдельную зону с отдельным входом.</t>
  </si>
  <si>
    <t xml:space="preserve">• Свободные смены во врачебных кабинетах — резерв под совместителей, рост нагрузки или замены (см. лист «Кабинеты»).</t>
  </si>
  <si>
    <t xml:space="preserve">Допущения (можно менять)</t>
  </si>
  <si>
    <t xml:space="preserve">• Длительность приёма на листе «По врачам» — ориентир: 20 мин для терапевтов, педиатров, хирургов, ЛОР, ортопедов, 30 мин для узких консультантов. Правьте в колонке «Длит. приёма, мин» — число приёмов за смену пересчитается.</t>
  </si>
  <si>
    <t xml:space="preserve">• Номера кабинетов условные: 1xx — взрослое отделение, 2xx — детское.</t>
  </si>
  <si>
    <t xml:space="preserve">• Расписание недельное (циклическое): одинаково повторяется каждую неделю.</t>
  </si>
  <si>
    <t xml:space="preserve">Листы</t>
  </si>
  <si>
    <t xml:space="preserve">Сетка по кабинетам — кто в каком кабинете в каждую смену недели.</t>
  </si>
  <si>
    <t xml:space="preserve">По врачам — личный график каждого врача, часы и число приёмов.</t>
  </si>
  <si>
    <t xml:space="preserve">Покрытие — сколько врачей каждой специальности принимает в каждую смену.</t>
  </si>
  <si>
    <t xml:space="preserve">Кабинеты — назначение, оснащение, закреплённые врачи и загрузка.</t>
  </si>
  <si>
    <t xml:space="preserve">Слоты (для БД) — плоская таблица смен: врач, кабинет, день недели, время. Её же удобно грузить в базу.</t>
  </si>
  <si>
    <t xml:space="preserve">Каб.</t>
  </si>
  <si>
    <t xml:space="preserve">Назначение</t>
  </si>
  <si>
    <t xml:space="preserve">Смена</t>
  </si>
  <si>
    <t xml:space="preserve">Пн</t>
  </si>
  <si>
    <t xml:space="preserve">Вт</t>
  </si>
  <si>
    <t xml:space="preserve">Ср</t>
  </si>
  <si>
    <t xml:space="preserve">Чт</t>
  </si>
  <si>
    <t xml:space="preserve">Пт</t>
  </si>
  <si>
    <t xml:space="preserve">Сб</t>
  </si>
  <si>
    <t xml:space="preserve">Вс</t>
  </si>
  <si>
    <t xml:space="preserve">Терапевтический</t>
  </si>
  <si>
    <t xml:space="preserve">08–14</t>
  </si>
  <si>
    <t xml:space="preserve">Верещагин А.М.
Терапевт</t>
  </si>
  <si>
    <t xml:space="preserve">Ковалёва Л.П.
Терапевт</t>
  </si>
  <si>
    <t xml:space="preserve">14–20</t>
  </si>
  <si>
    <t xml:space="preserve">свободно</t>
  </si>
  <si>
    <t xml:space="preserve">Дорохов С.А.
Терапевт</t>
  </si>
  <si>
    <t xml:space="preserve">Нечаева В.С.
Терапевт</t>
  </si>
  <si>
    <t xml:space="preserve">Рябинин И.К.
Терапевт</t>
  </si>
  <si>
    <t xml:space="preserve">Малахова О.Г.
Терапевт</t>
  </si>
  <si>
    <t xml:space="preserve">Хирургический</t>
  </si>
  <si>
    <t xml:space="preserve">Бортников Н.Т.
Хирург</t>
  </si>
  <si>
    <t xml:space="preserve">Панкратов Е.В.
Хирург</t>
  </si>
  <si>
    <t xml:space="preserve">Хирургический / флебологический</t>
  </si>
  <si>
    <t xml:space="preserve">Ждановский А.С.
Хирург</t>
  </si>
  <si>
    <t xml:space="preserve">Соловьёв Д.В.
Флеболог</t>
  </si>
  <si>
    <t xml:space="preserve">Травматолого-ортопедический</t>
  </si>
  <si>
    <t xml:space="preserve">Ушаков П.Е.
Травматолог</t>
  </si>
  <si>
    <t xml:space="preserve">Гордеев Р.А.
Ортопед</t>
  </si>
  <si>
    <t xml:space="preserve">Ортопедический</t>
  </si>
  <si>
    <t xml:space="preserve">Белов С.Ю.
Ортопед</t>
  </si>
  <si>
    <t xml:space="preserve">Оториноларингологический</t>
  </si>
  <si>
    <t xml:space="preserve">Зимина Н.Б.
Лор (отоларинголог)</t>
  </si>
  <si>
    <t xml:space="preserve">Кузнецов Д.О.
Лор (отоларинголог)</t>
  </si>
  <si>
    <t xml:space="preserve">Гинекологический / маммологический</t>
  </si>
  <si>
    <t xml:space="preserve">Кравцова С.И.
Акушер-гинеколог</t>
  </si>
  <si>
    <t xml:space="preserve">Тихомирова Е.А.
Маммолог</t>
  </si>
  <si>
    <t xml:space="preserve">Офтальмологический</t>
  </si>
  <si>
    <t xml:space="preserve">Мещерякова И.Л.
Офтальмолог</t>
  </si>
  <si>
    <t xml:space="preserve">Дерматологический / аллергологический</t>
  </si>
  <si>
    <t xml:space="preserve">Шаповалова О.Д.
Дерматовенеролог</t>
  </si>
  <si>
    <t xml:space="preserve">Бельская М.В.
Аллерголог-иммунолог</t>
  </si>
  <si>
    <t xml:space="preserve">Консультативный</t>
  </si>
  <si>
    <t xml:space="preserve">Ермаков В.П.
Кардиолог</t>
  </si>
  <si>
    <t xml:space="preserve">Пантелеева А.В.
Нефролог</t>
  </si>
  <si>
    <t xml:space="preserve">Савельев Г.И.
Невролог</t>
  </si>
  <si>
    <t xml:space="preserve">Черкасова И.Л.
Эндокринолог</t>
  </si>
  <si>
    <t xml:space="preserve">Луговой А.С.
Гастроэнтеролог</t>
  </si>
  <si>
    <t xml:space="preserve">Процедурный</t>
  </si>
  <si>
    <t xml:space="preserve">медсестра</t>
  </si>
  <si>
    <t xml:space="preserve">Функциональной диагностики</t>
  </si>
  <si>
    <t xml:space="preserve">Педиатрический</t>
  </si>
  <si>
    <t xml:space="preserve">Соколова А.В.
Педиатр</t>
  </si>
  <si>
    <t xml:space="preserve">Гущина Т.Н.
Педиатр</t>
  </si>
  <si>
    <t xml:space="preserve">Карпов М.Р.
Педиатр</t>
  </si>
  <si>
    <t xml:space="preserve">Литвинова Ю.Э.
Педиатр</t>
  </si>
  <si>
    <t xml:space="preserve">Астахова П.С.
Педиатр</t>
  </si>
  <si>
    <t xml:space="preserve">Прививочный</t>
  </si>
  <si>
    <t xml:space="preserve">№</t>
  </si>
  <si>
    <t xml:space="preserve">ФИО</t>
  </si>
  <si>
    <t xml:space="preserve">Специальность</t>
  </si>
  <si>
    <t xml:space="preserve">Кабинет</t>
  </si>
  <si>
    <t xml:space="preserve">Смен/нед</t>
  </si>
  <si>
    <t xml:space="preserve">Часов/нед</t>
  </si>
  <si>
    <t xml:space="preserve">Длит. приёма, мин</t>
  </si>
  <si>
    <t xml:space="preserve">Приёмов за смену</t>
  </si>
  <si>
    <t xml:space="preserve">Приёмов/нед</t>
  </si>
  <si>
    <t xml:space="preserve">Кравцова Светлана Игоревна</t>
  </si>
  <si>
    <t xml:space="preserve">Акушер-гинеколог</t>
  </si>
  <si>
    <t xml:space="preserve">вых</t>
  </si>
  <si>
    <t xml:space="preserve">Бельская Марина Валерьевна</t>
  </si>
  <si>
    <t xml:space="preserve">Аллерголог-иммунолог</t>
  </si>
  <si>
    <t xml:space="preserve">Луговой Артём Сергеевич</t>
  </si>
  <si>
    <t xml:space="preserve">Гастроэнтеролог</t>
  </si>
  <si>
    <t xml:space="preserve">Шаповалова Ольга Дмитриевна</t>
  </si>
  <si>
    <t xml:space="preserve">Дерматовенеролог</t>
  </si>
  <si>
    <t xml:space="preserve">Ермаков Виктор Павлович</t>
  </si>
  <si>
    <t xml:space="preserve">Кардиолог</t>
  </si>
  <si>
    <t xml:space="preserve">Зимина Наталья Борисовна</t>
  </si>
  <si>
    <t xml:space="preserve">Лор (отоларинголог)</t>
  </si>
  <si>
    <t xml:space="preserve">Кузнецов Денис Олегович</t>
  </si>
  <si>
    <t xml:space="preserve">Тихомирова Елена Аркадьевна</t>
  </si>
  <si>
    <t xml:space="preserve">Маммолог</t>
  </si>
  <si>
    <t xml:space="preserve">Савельев Григорий Ильич</t>
  </si>
  <si>
    <t xml:space="preserve">Невролог</t>
  </si>
  <si>
    <t xml:space="preserve">Пантелеева Алла Викторовна</t>
  </si>
  <si>
    <t xml:space="preserve">Нефролог</t>
  </si>
  <si>
    <t xml:space="preserve">Гордеев Роман Андреевич</t>
  </si>
  <si>
    <t xml:space="preserve">Ортопед</t>
  </si>
  <si>
    <t xml:space="preserve">Белов Станислав Юрьевич</t>
  </si>
  <si>
    <t xml:space="preserve">Мещерякова Ирина Леонидовна</t>
  </si>
  <si>
    <t xml:space="preserve">Офтальмолог</t>
  </si>
  <si>
    <t xml:space="preserve">Соколова Анна Витальевна</t>
  </si>
  <si>
    <t xml:space="preserve">Педиатр</t>
  </si>
  <si>
    <t xml:space="preserve">Гущина Тамара Николаевна</t>
  </si>
  <si>
    <t xml:space="preserve">Карпов Максим Романович</t>
  </si>
  <si>
    <t xml:space="preserve">Литвинова Юлия Эдуардовна</t>
  </si>
  <si>
    <t xml:space="preserve">Астахова Полина Сергеевна</t>
  </si>
  <si>
    <t xml:space="preserve">Верещагин Андрей Михайлович</t>
  </si>
  <si>
    <t xml:space="preserve">Терапевт</t>
  </si>
  <si>
    <t xml:space="preserve">Ковалёва Людмила Петровна</t>
  </si>
  <si>
    <t xml:space="preserve">Дорохов Сергей Анатольевич</t>
  </si>
  <si>
    <t xml:space="preserve">Нечаева Вера Степановна</t>
  </si>
  <si>
    <t xml:space="preserve">Рябинин Илья Константинович</t>
  </si>
  <si>
    <t xml:space="preserve">Малахова Оксана Григорьевна</t>
  </si>
  <si>
    <t xml:space="preserve">Ушаков Павел Егорович</t>
  </si>
  <si>
    <t xml:space="preserve">Травматолог</t>
  </si>
  <si>
    <t xml:space="preserve">Соловьёв Дмитрий Вадимович</t>
  </si>
  <si>
    <t xml:space="preserve">Флеболог</t>
  </si>
  <si>
    <t xml:space="preserve">Бортников Николай Тимофеевич</t>
  </si>
  <si>
    <t xml:space="preserve">Хирург</t>
  </si>
  <si>
    <t xml:space="preserve">Панкратов Егор Валентинович</t>
  </si>
  <si>
    <t xml:space="preserve">Ждановский Алексей Семёнович</t>
  </si>
  <si>
    <t xml:space="preserve">Черкасова Инна Львовна</t>
  </si>
  <si>
    <t xml:space="preserve">Эндокринолог</t>
  </si>
  <si>
    <t xml:space="preserve">Итого</t>
  </si>
  <si>
    <t xml:space="preserve">Жёлтые ячейки — длительность приёма (допущение, можно менять).</t>
  </si>
  <si>
    <t xml:space="preserve">Врачей</t>
  </si>
  <si>
    <t xml:space="preserve">Всего врачей в смене</t>
  </si>
  <si>
    <t xml:space="preserve">Оснащение / примечание</t>
  </si>
  <si>
    <t xml:space="preserve">Врачи</t>
  </si>
  <si>
    <t xml:space="preserve">Занято смен</t>
  </si>
  <si>
    <t xml:space="preserve">Всего смен</t>
  </si>
  <si>
    <t xml:space="preserve">Загрузка</t>
  </si>
  <si>
    <t xml:space="preserve">Кушетка, тонометр</t>
  </si>
  <si>
    <t xml:space="preserve">Верещагин А.М. (терапевт); Ковалёва Л.П. (терапевт)</t>
  </si>
  <si>
    <t xml:space="preserve">Дорохов С.А. (терапевт); Нечаева В.С. (терапевт)</t>
  </si>
  <si>
    <t xml:space="preserve">Рябинин И.К. (терапевт); Малахова О.Г. (терапевт)</t>
  </si>
  <si>
    <t xml:space="preserve">Рядом с перевязочной</t>
  </si>
  <si>
    <t xml:space="preserve">Бортников Н.Т. (хирург); Панкратов Е.В. (хирург)</t>
  </si>
  <si>
    <t xml:space="preserve">УЗ-сканер для вен</t>
  </si>
  <si>
    <t xml:space="preserve">Ждановский А.С. (хирург); Соловьёв Д.В. (флеболог)</t>
  </si>
  <si>
    <t xml:space="preserve">Рядом с гипсовой</t>
  </si>
  <si>
    <t xml:space="preserve">Ушаков П.Е. (травматолог); Гордеев Р.А. (ортопед)</t>
  </si>
  <si>
    <t xml:space="preserve">Плантограф</t>
  </si>
  <si>
    <t xml:space="preserve">Белов С.Ю. (ортопед)</t>
  </si>
  <si>
    <t xml:space="preserve">ЛОР-комбайн</t>
  </si>
  <si>
    <t xml:space="preserve">Зимина Н.Б. (лор (отоларинголог)); Кузнецов Д.О. (лор (отоларинголог))</t>
  </si>
  <si>
    <t xml:space="preserve">Гинекологическое кресло, кушетка</t>
  </si>
  <si>
    <t xml:space="preserve">Кравцова С.И. (акушер-гинеколог); Тихомирова Е.А. (маммолог)</t>
  </si>
  <si>
    <t xml:space="preserve">Затемнение, щелевая лампа, авторефрактометр</t>
  </si>
  <si>
    <t xml:space="preserve">Мещерякова И.Л. (офтальмолог)</t>
  </si>
  <si>
    <t xml:space="preserve">Дерматоскоп, набор для кожных проб</t>
  </si>
  <si>
    <t xml:space="preserve">Шаповалова О.Д. (дерматовенеролог); Бельская М.В. (аллерголог-иммунолог)</t>
  </si>
  <si>
    <t xml:space="preserve">Кардиология / нефрология</t>
  </si>
  <si>
    <t xml:space="preserve">Ермаков В.П. (кардиолог); Пантелеева А.В. (нефролог)</t>
  </si>
  <si>
    <t xml:space="preserve">Неврология / эндокринология</t>
  </si>
  <si>
    <t xml:space="preserve">Савельев Г.И. (невролог); Черкасова И.Л. (эндокринолог)</t>
  </si>
  <si>
    <t xml:space="preserve">Гастроэнтерология; свободные смены — резерв</t>
  </si>
  <si>
    <t xml:space="preserve">Луговой А.С. (гастроэнтеролог)</t>
  </si>
  <si>
    <t xml:space="preserve">Забор крови, инъекции; медсестра, 08–20 ежедневно</t>
  </si>
  <si>
    <t xml:space="preserve">сестринский пост</t>
  </si>
  <si>
    <t xml:space="preserve">08–20 ежедн.</t>
  </si>
  <si>
    <t xml:space="preserve">ЭКГ, СМАД, холтер; медсестра, 08–20 ежедневно</t>
  </si>
  <si>
    <t xml:space="preserve">Детское отделение, отдельный вход</t>
  </si>
  <si>
    <t xml:space="preserve">Соколова А.В. (педиатр); Гущина Т.Н. (педиатр)</t>
  </si>
  <si>
    <t xml:space="preserve">Карпов М.Р. (педиатр); Литвинова Ю.Э. (педиатр)</t>
  </si>
  <si>
    <t xml:space="preserve">Астахова П.С. (педиатр)</t>
  </si>
  <si>
    <t xml:space="preserve">Детское отделение; медсестра, 08–20 ежедневно</t>
  </si>
  <si>
    <t xml:space="preserve">Итого по врачебным кабинетам</t>
  </si>
  <si>
    <t xml:space="preserve">doctor_id</t>
  </si>
  <si>
    <t xml:space="preserve">day_of_week (1=Пн)</t>
  </si>
  <si>
    <t xml:space="preserve">День</t>
  </si>
  <si>
    <t xml:space="preserve">Начало</t>
  </si>
  <si>
    <t xml:space="preserve">Конец</t>
  </si>
  <si>
    <t xml:space="preserve">08:00</t>
  </si>
  <si>
    <t xml:space="preserve">14:00</t>
  </si>
  <si>
    <t xml:space="preserve">20:00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</si>
</sst>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A6A6A6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0"/>
      <color rgb="FFA6A6A6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F2F2"/>
      </patternFill>
    </fill>
    <fill>
      <patternFill patternType="solid">
        <fgColor rgb="FFE2EFDA"/>
        <bgColor rgb="FFEDEDED"/>
      </patternFill>
    </fill>
    <fill>
      <patternFill patternType="solid">
        <fgColor rgb="FFEDE2F6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8D7E3"/>
        <bgColor rgb="FFFCE4D6"/>
      </patternFill>
    </fill>
    <fill>
      <patternFill patternType="solid">
        <fgColor rgb="FFD9F2F2"/>
        <bgColor rgb="FFDDEBF7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FCE4D6"/>
        <bgColor rgb="FFF8D7E3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59595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color rgb="FFBFBFBF"/>
      </font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9F2F2"/>
      <rgbColor rgb="FF660066"/>
      <rgbColor rgb="FFFF8080"/>
      <rgbColor rgb="FF0066CC"/>
      <rgbColor rgb="FFEDE2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CE4D6"/>
      <rgbColor rgb="FFE2EFDA"/>
      <rgbColor rgb="FFEDEDED"/>
      <rgbColor rgb="FFF2F2F2"/>
      <rgbColor rgb="FFF8D7E3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3.85" hidden="false" customHeight="false" outlineLevel="0" collapsed="false">
      <c r="A4" s="2" t="s">
        <v>2</v>
      </c>
    </row>
    <row r="5" customFormat="false" ht="23.85" hidden="false" customHeight="false" outlineLevel="0" collapsed="false">
      <c r="A5" s="2" t="s">
        <v>3</v>
      </c>
    </row>
    <row r="6" customFormat="false" ht="35.0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23.8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9</v>
      </c>
    </row>
    <row r="13" customFormat="false" ht="23.8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10" min="4" style="0" width="22"/>
  </cols>
  <sheetData>
    <row r="1" customFormat="false" ht="15" hidden="false" customHeight="fals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</row>
    <row r="2" customFormat="false" ht="30" hidden="false" customHeight="true" outlineLevel="0" collapsed="false">
      <c r="A2" s="5" t="n">
        <v>101</v>
      </c>
      <c r="B2" s="6" t="s">
        <v>29</v>
      </c>
      <c r="C2" s="7" t="s">
        <v>30</v>
      </c>
      <c r="D2" s="8" t="s">
        <v>31</v>
      </c>
      <c r="E2" s="8" t="s">
        <v>32</v>
      </c>
      <c r="F2" s="8" t="s">
        <v>31</v>
      </c>
      <c r="G2" s="8" t="s">
        <v>32</v>
      </c>
      <c r="H2" s="8" t="s">
        <v>31</v>
      </c>
      <c r="I2" s="8" t="s">
        <v>31</v>
      </c>
      <c r="J2" s="8" t="s">
        <v>32</v>
      </c>
    </row>
    <row r="3" customFormat="false" ht="30" hidden="false" customHeight="true" outlineLevel="0" collapsed="false">
      <c r="A3" s="9" t="n">
        <v>101</v>
      </c>
      <c r="B3" s="10" t="s">
        <v>29</v>
      </c>
      <c r="C3" s="11" t="s">
        <v>33</v>
      </c>
      <c r="D3" s="12" t="s">
        <v>32</v>
      </c>
      <c r="E3" s="12" t="s">
        <v>31</v>
      </c>
      <c r="F3" s="12" t="s">
        <v>32</v>
      </c>
      <c r="G3" s="12" t="s">
        <v>31</v>
      </c>
      <c r="H3" s="12" t="s">
        <v>32</v>
      </c>
      <c r="I3" s="13" t="s">
        <v>34</v>
      </c>
      <c r="J3" s="13" t="s">
        <v>34</v>
      </c>
    </row>
    <row r="4" customFormat="false" ht="30" hidden="false" customHeight="true" outlineLevel="0" collapsed="false">
      <c r="A4" s="5" t="n">
        <v>102</v>
      </c>
      <c r="B4" s="6" t="s">
        <v>29</v>
      </c>
      <c r="C4" s="7" t="s">
        <v>30</v>
      </c>
      <c r="D4" s="8" t="s">
        <v>35</v>
      </c>
      <c r="E4" s="8" t="s">
        <v>36</v>
      </c>
      <c r="F4" s="8" t="s">
        <v>35</v>
      </c>
      <c r="G4" s="8" t="s">
        <v>36</v>
      </c>
      <c r="H4" s="8" t="s">
        <v>35</v>
      </c>
      <c r="I4" s="14" t="s">
        <v>34</v>
      </c>
      <c r="J4" s="14" t="s">
        <v>34</v>
      </c>
    </row>
    <row r="5" customFormat="false" ht="30" hidden="false" customHeight="true" outlineLevel="0" collapsed="false">
      <c r="A5" s="9" t="n">
        <v>102</v>
      </c>
      <c r="B5" s="10" t="s">
        <v>29</v>
      </c>
      <c r="C5" s="11" t="s">
        <v>33</v>
      </c>
      <c r="D5" s="12" t="s">
        <v>36</v>
      </c>
      <c r="E5" s="12" t="s">
        <v>35</v>
      </c>
      <c r="F5" s="12" t="s">
        <v>36</v>
      </c>
      <c r="G5" s="12" t="s">
        <v>35</v>
      </c>
      <c r="H5" s="12" t="s">
        <v>36</v>
      </c>
      <c r="I5" s="12" t="s">
        <v>35</v>
      </c>
      <c r="J5" s="12" t="s">
        <v>36</v>
      </c>
    </row>
    <row r="6" customFormat="false" ht="30" hidden="false" customHeight="true" outlineLevel="0" collapsed="false">
      <c r="A6" s="5" t="n">
        <v>103</v>
      </c>
      <c r="B6" s="6" t="s">
        <v>29</v>
      </c>
      <c r="C6" s="7" t="s">
        <v>30</v>
      </c>
      <c r="D6" s="8" t="s">
        <v>37</v>
      </c>
      <c r="E6" s="8" t="s">
        <v>38</v>
      </c>
      <c r="F6" s="8" t="s">
        <v>37</v>
      </c>
      <c r="G6" s="8" t="s">
        <v>38</v>
      </c>
      <c r="H6" s="8" t="s">
        <v>37</v>
      </c>
      <c r="I6" s="8" t="s">
        <v>38</v>
      </c>
      <c r="J6" s="8" t="s">
        <v>37</v>
      </c>
    </row>
    <row r="7" customFormat="false" ht="30" hidden="false" customHeight="true" outlineLevel="0" collapsed="false">
      <c r="A7" s="9" t="n">
        <v>103</v>
      </c>
      <c r="B7" s="10" t="s">
        <v>29</v>
      </c>
      <c r="C7" s="11" t="s">
        <v>33</v>
      </c>
      <c r="D7" s="12" t="s">
        <v>38</v>
      </c>
      <c r="E7" s="12" t="s">
        <v>37</v>
      </c>
      <c r="F7" s="12" t="s">
        <v>38</v>
      </c>
      <c r="G7" s="12" t="s">
        <v>37</v>
      </c>
      <c r="H7" s="12" t="s">
        <v>38</v>
      </c>
      <c r="I7" s="13" t="s">
        <v>34</v>
      </c>
      <c r="J7" s="13" t="s">
        <v>34</v>
      </c>
    </row>
    <row r="8" customFormat="false" ht="30" hidden="false" customHeight="true" outlineLevel="0" collapsed="false">
      <c r="A8" s="5" t="n">
        <v>104</v>
      </c>
      <c r="B8" s="6" t="s">
        <v>39</v>
      </c>
      <c r="C8" s="7" t="s">
        <v>30</v>
      </c>
      <c r="D8" s="15" t="s">
        <v>40</v>
      </c>
      <c r="E8" s="15" t="s">
        <v>41</v>
      </c>
      <c r="F8" s="15" t="s">
        <v>40</v>
      </c>
      <c r="G8" s="15" t="s">
        <v>41</v>
      </c>
      <c r="H8" s="15" t="s">
        <v>40</v>
      </c>
      <c r="I8" s="15" t="s">
        <v>40</v>
      </c>
      <c r="J8" s="15" t="s">
        <v>41</v>
      </c>
    </row>
    <row r="9" customFormat="false" ht="30" hidden="false" customHeight="true" outlineLevel="0" collapsed="false">
      <c r="A9" s="9" t="n">
        <v>104</v>
      </c>
      <c r="B9" s="10" t="s">
        <v>39</v>
      </c>
      <c r="C9" s="11" t="s">
        <v>33</v>
      </c>
      <c r="D9" s="16" t="s">
        <v>41</v>
      </c>
      <c r="E9" s="16" t="s">
        <v>40</v>
      </c>
      <c r="F9" s="16" t="s">
        <v>41</v>
      </c>
      <c r="G9" s="16" t="s">
        <v>40</v>
      </c>
      <c r="H9" s="16" t="s">
        <v>41</v>
      </c>
      <c r="I9" s="13" t="s">
        <v>34</v>
      </c>
      <c r="J9" s="13" t="s">
        <v>34</v>
      </c>
    </row>
    <row r="10" customFormat="false" ht="30" hidden="false" customHeight="true" outlineLevel="0" collapsed="false">
      <c r="A10" s="5" t="n">
        <v>105</v>
      </c>
      <c r="B10" s="6" t="s">
        <v>42</v>
      </c>
      <c r="C10" s="7" t="s">
        <v>30</v>
      </c>
      <c r="D10" s="15" t="s">
        <v>43</v>
      </c>
      <c r="E10" s="15" t="s">
        <v>44</v>
      </c>
      <c r="F10" s="15" t="s">
        <v>43</v>
      </c>
      <c r="G10" s="15" t="s">
        <v>44</v>
      </c>
      <c r="H10" s="15" t="s">
        <v>43</v>
      </c>
      <c r="I10" s="15" t="s">
        <v>44</v>
      </c>
      <c r="J10" s="14" t="s">
        <v>34</v>
      </c>
    </row>
    <row r="11" customFormat="false" ht="30" hidden="false" customHeight="true" outlineLevel="0" collapsed="false">
      <c r="A11" s="9" t="n">
        <v>105</v>
      </c>
      <c r="B11" s="10" t="s">
        <v>42</v>
      </c>
      <c r="C11" s="11" t="s">
        <v>33</v>
      </c>
      <c r="D11" s="16" t="s">
        <v>44</v>
      </c>
      <c r="E11" s="16" t="s">
        <v>43</v>
      </c>
      <c r="F11" s="16" t="s">
        <v>44</v>
      </c>
      <c r="G11" s="16" t="s">
        <v>43</v>
      </c>
      <c r="H11" s="16" t="s">
        <v>44</v>
      </c>
      <c r="I11" s="16" t="s">
        <v>43</v>
      </c>
      <c r="J11" s="13" t="s">
        <v>34</v>
      </c>
    </row>
    <row r="12" customFormat="false" ht="30" hidden="false" customHeight="true" outlineLevel="0" collapsed="false">
      <c r="A12" s="5" t="n">
        <v>106</v>
      </c>
      <c r="B12" s="6" t="s">
        <v>45</v>
      </c>
      <c r="C12" s="7" t="s">
        <v>30</v>
      </c>
      <c r="D12" s="17" t="s">
        <v>46</v>
      </c>
      <c r="E12" s="17" t="s">
        <v>47</v>
      </c>
      <c r="F12" s="17" t="s">
        <v>46</v>
      </c>
      <c r="G12" s="17" t="s">
        <v>47</v>
      </c>
      <c r="H12" s="17" t="s">
        <v>46</v>
      </c>
      <c r="I12" s="17" t="s">
        <v>47</v>
      </c>
      <c r="J12" s="17" t="s">
        <v>46</v>
      </c>
    </row>
    <row r="13" customFormat="false" ht="30" hidden="false" customHeight="true" outlineLevel="0" collapsed="false">
      <c r="A13" s="9" t="n">
        <v>106</v>
      </c>
      <c r="B13" s="10" t="s">
        <v>45</v>
      </c>
      <c r="C13" s="11" t="s">
        <v>33</v>
      </c>
      <c r="D13" s="18" t="s">
        <v>47</v>
      </c>
      <c r="E13" s="18" t="s">
        <v>46</v>
      </c>
      <c r="F13" s="18" t="s">
        <v>47</v>
      </c>
      <c r="G13" s="18" t="s">
        <v>46</v>
      </c>
      <c r="H13" s="18" t="s">
        <v>47</v>
      </c>
      <c r="I13" s="13" t="s">
        <v>34</v>
      </c>
      <c r="J13" s="13" t="s">
        <v>34</v>
      </c>
    </row>
    <row r="14" customFormat="false" ht="30" hidden="false" customHeight="true" outlineLevel="0" collapsed="false">
      <c r="A14" s="5" t="n">
        <v>107</v>
      </c>
      <c r="B14" s="6" t="s">
        <v>48</v>
      </c>
      <c r="C14" s="7" t="s">
        <v>30</v>
      </c>
      <c r="D14" s="17" t="s">
        <v>49</v>
      </c>
      <c r="E14" s="14" t="s">
        <v>34</v>
      </c>
      <c r="F14" s="17" t="s">
        <v>49</v>
      </c>
      <c r="G14" s="14" t="s">
        <v>34</v>
      </c>
      <c r="H14" s="17" t="s">
        <v>49</v>
      </c>
      <c r="I14" s="14" t="s">
        <v>34</v>
      </c>
      <c r="J14" s="14" t="s">
        <v>34</v>
      </c>
    </row>
    <row r="15" customFormat="false" ht="30" hidden="false" customHeight="true" outlineLevel="0" collapsed="false">
      <c r="A15" s="9" t="n">
        <v>107</v>
      </c>
      <c r="B15" s="10" t="s">
        <v>48</v>
      </c>
      <c r="C15" s="11" t="s">
        <v>33</v>
      </c>
      <c r="D15" s="13" t="s">
        <v>34</v>
      </c>
      <c r="E15" s="18" t="s">
        <v>49</v>
      </c>
      <c r="F15" s="13" t="s">
        <v>34</v>
      </c>
      <c r="G15" s="18" t="s">
        <v>49</v>
      </c>
      <c r="H15" s="13" t="s">
        <v>34</v>
      </c>
      <c r="I15" s="18" t="s">
        <v>49</v>
      </c>
      <c r="J15" s="13" t="s">
        <v>34</v>
      </c>
    </row>
    <row r="16" customFormat="false" ht="30" hidden="false" customHeight="true" outlineLevel="0" collapsed="false">
      <c r="A16" s="5" t="n">
        <v>108</v>
      </c>
      <c r="B16" s="6" t="s">
        <v>50</v>
      </c>
      <c r="C16" s="7" t="s">
        <v>30</v>
      </c>
      <c r="D16" s="19" t="s">
        <v>51</v>
      </c>
      <c r="E16" s="19" t="s">
        <v>52</v>
      </c>
      <c r="F16" s="19" t="s">
        <v>51</v>
      </c>
      <c r="G16" s="19" t="s">
        <v>52</v>
      </c>
      <c r="H16" s="19" t="s">
        <v>51</v>
      </c>
      <c r="I16" s="19" t="s">
        <v>51</v>
      </c>
      <c r="J16" s="19" t="s">
        <v>52</v>
      </c>
    </row>
    <row r="17" customFormat="false" ht="30" hidden="false" customHeight="true" outlineLevel="0" collapsed="false">
      <c r="A17" s="9" t="n">
        <v>108</v>
      </c>
      <c r="B17" s="10" t="s">
        <v>50</v>
      </c>
      <c r="C17" s="11" t="s">
        <v>33</v>
      </c>
      <c r="D17" s="20" t="s">
        <v>52</v>
      </c>
      <c r="E17" s="20" t="s">
        <v>51</v>
      </c>
      <c r="F17" s="20" t="s">
        <v>52</v>
      </c>
      <c r="G17" s="20" t="s">
        <v>51</v>
      </c>
      <c r="H17" s="20" t="s">
        <v>52</v>
      </c>
      <c r="I17" s="13" t="s">
        <v>34</v>
      </c>
      <c r="J17" s="13" t="s">
        <v>34</v>
      </c>
    </row>
    <row r="18" customFormat="false" ht="30" hidden="false" customHeight="true" outlineLevel="0" collapsed="false">
      <c r="A18" s="5" t="n">
        <v>109</v>
      </c>
      <c r="B18" s="6" t="s">
        <v>53</v>
      </c>
      <c r="C18" s="7" t="s">
        <v>30</v>
      </c>
      <c r="D18" s="21" t="s">
        <v>54</v>
      </c>
      <c r="E18" s="21" t="s">
        <v>55</v>
      </c>
      <c r="F18" s="21" t="s">
        <v>54</v>
      </c>
      <c r="G18" s="21" t="s">
        <v>55</v>
      </c>
      <c r="H18" s="21" t="s">
        <v>54</v>
      </c>
      <c r="I18" s="21" t="s">
        <v>54</v>
      </c>
      <c r="J18" s="14" t="s">
        <v>34</v>
      </c>
    </row>
    <row r="19" customFormat="false" ht="30" hidden="false" customHeight="true" outlineLevel="0" collapsed="false">
      <c r="A19" s="9" t="n">
        <v>109</v>
      </c>
      <c r="B19" s="10" t="s">
        <v>53</v>
      </c>
      <c r="C19" s="11" t="s">
        <v>33</v>
      </c>
      <c r="D19" s="22" t="s">
        <v>55</v>
      </c>
      <c r="E19" s="22" t="s">
        <v>54</v>
      </c>
      <c r="F19" s="22" t="s">
        <v>55</v>
      </c>
      <c r="G19" s="22" t="s">
        <v>54</v>
      </c>
      <c r="H19" s="22" t="s">
        <v>55</v>
      </c>
      <c r="I19" s="22" t="s">
        <v>55</v>
      </c>
      <c r="J19" s="13" t="s">
        <v>34</v>
      </c>
    </row>
    <row r="20" customFormat="false" ht="30" hidden="false" customHeight="true" outlineLevel="0" collapsed="false">
      <c r="A20" s="5" t="n">
        <v>110</v>
      </c>
      <c r="B20" s="6" t="s">
        <v>56</v>
      </c>
      <c r="C20" s="7" t="s">
        <v>30</v>
      </c>
      <c r="D20" s="23" t="s">
        <v>57</v>
      </c>
      <c r="E20" s="14" t="s">
        <v>34</v>
      </c>
      <c r="F20" s="23" t="s">
        <v>57</v>
      </c>
      <c r="G20" s="14" t="s">
        <v>34</v>
      </c>
      <c r="H20" s="23" t="s">
        <v>57</v>
      </c>
      <c r="I20" s="23" t="s">
        <v>57</v>
      </c>
      <c r="J20" s="14" t="s">
        <v>34</v>
      </c>
    </row>
    <row r="21" customFormat="false" ht="30" hidden="false" customHeight="true" outlineLevel="0" collapsed="false">
      <c r="A21" s="9" t="n">
        <v>110</v>
      </c>
      <c r="B21" s="10" t="s">
        <v>56</v>
      </c>
      <c r="C21" s="11" t="s">
        <v>33</v>
      </c>
      <c r="D21" s="13" t="s">
        <v>34</v>
      </c>
      <c r="E21" s="24" t="s">
        <v>57</v>
      </c>
      <c r="F21" s="13" t="s">
        <v>34</v>
      </c>
      <c r="G21" s="24" t="s">
        <v>57</v>
      </c>
      <c r="H21" s="13" t="s">
        <v>34</v>
      </c>
      <c r="I21" s="13" t="s">
        <v>34</v>
      </c>
      <c r="J21" s="13" t="s">
        <v>34</v>
      </c>
    </row>
    <row r="22" customFormat="false" ht="30" hidden="false" customHeight="true" outlineLevel="0" collapsed="false">
      <c r="A22" s="5" t="n">
        <v>111</v>
      </c>
      <c r="B22" s="6" t="s">
        <v>58</v>
      </c>
      <c r="C22" s="7" t="s">
        <v>30</v>
      </c>
      <c r="D22" s="25" t="s">
        <v>59</v>
      </c>
      <c r="E22" s="25" t="s">
        <v>60</v>
      </c>
      <c r="F22" s="25" t="s">
        <v>59</v>
      </c>
      <c r="G22" s="25" t="s">
        <v>60</v>
      </c>
      <c r="H22" s="25" t="s">
        <v>59</v>
      </c>
      <c r="I22" s="25" t="s">
        <v>59</v>
      </c>
      <c r="J22" s="25" t="s">
        <v>60</v>
      </c>
    </row>
    <row r="23" customFormat="false" ht="30" hidden="false" customHeight="true" outlineLevel="0" collapsed="false">
      <c r="A23" s="9" t="n">
        <v>111</v>
      </c>
      <c r="B23" s="10" t="s">
        <v>58</v>
      </c>
      <c r="C23" s="11" t="s">
        <v>33</v>
      </c>
      <c r="D23" s="26" t="s">
        <v>60</v>
      </c>
      <c r="E23" s="26" t="s">
        <v>59</v>
      </c>
      <c r="F23" s="26" t="s">
        <v>60</v>
      </c>
      <c r="G23" s="26" t="s">
        <v>59</v>
      </c>
      <c r="H23" s="26" t="s">
        <v>60</v>
      </c>
      <c r="I23" s="13" t="s">
        <v>34</v>
      </c>
      <c r="J23" s="13" t="s">
        <v>34</v>
      </c>
    </row>
    <row r="24" customFormat="false" ht="30" hidden="false" customHeight="true" outlineLevel="0" collapsed="false">
      <c r="A24" s="5" t="n">
        <v>112</v>
      </c>
      <c r="B24" s="6" t="s">
        <v>61</v>
      </c>
      <c r="C24" s="7" t="s">
        <v>30</v>
      </c>
      <c r="D24" s="25" t="s">
        <v>62</v>
      </c>
      <c r="E24" s="25" t="s">
        <v>63</v>
      </c>
      <c r="F24" s="25" t="s">
        <v>62</v>
      </c>
      <c r="G24" s="25" t="s">
        <v>63</v>
      </c>
      <c r="H24" s="25" t="s">
        <v>62</v>
      </c>
      <c r="I24" s="25" t="s">
        <v>62</v>
      </c>
      <c r="J24" s="14" t="s">
        <v>34</v>
      </c>
    </row>
    <row r="25" customFormat="false" ht="30" hidden="false" customHeight="true" outlineLevel="0" collapsed="false">
      <c r="A25" s="9" t="n">
        <v>112</v>
      </c>
      <c r="B25" s="10" t="s">
        <v>61</v>
      </c>
      <c r="C25" s="11" t="s">
        <v>33</v>
      </c>
      <c r="D25" s="26" t="s">
        <v>63</v>
      </c>
      <c r="E25" s="26" t="s">
        <v>62</v>
      </c>
      <c r="F25" s="26" t="s">
        <v>63</v>
      </c>
      <c r="G25" s="26" t="s">
        <v>62</v>
      </c>
      <c r="H25" s="26" t="s">
        <v>63</v>
      </c>
      <c r="I25" s="26" t="s">
        <v>63</v>
      </c>
      <c r="J25" s="13" t="s">
        <v>34</v>
      </c>
    </row>
    <row r="26" customFormat="false" ht="30" hidden="false" customHeight="true" outlineLevel="0" collapsed="false">
      <c r="A26" s="5" t="n">
        <v>113</v>
      </c>
      <c r="B26" s="6" t="s">
        <v>61</v>
      </c>
      <c r="C26" s="7" t="s">
        <v>30</v>
      </c>
      <c r="D26" s="25" t="s">
        <v>64</v>
      </c>
      <c r="E26" s="25" t="s">
        <v>65</v>
      </c>
      <c r="F26" s="25" t="s">
        <v>64</v>
      </c>
      <c r="G26" s="25" t="s">
        <v>65</v>
      </c>
      <c r="H26" s="25" t="s">
        <v>64</v>
      </c>
      <c r="I26" s="25" t="s">
        <v>64</v>
      </c>
      <c r="J26" s="25" t="s">
        <v>65</v>
      </c>
    </row>
    <row r="27" customFormat="false" ht="30" hidden="false" customHeight="true" outlineLevel="0" collapsed="false">
      <c r="A27" s="9" t="n">
        <v>113</v>
      </c>
      <c r="B27" s="10" t="s">
        <v>61</v>
      </c>
      <c r="C27" s="11" t="s">
        <v>33</v>
      </c>
      <c r="D27" s="26" t="s">
        <v>65</v>
      </c>
      <c r="E27" s="26" t="s">
        <v>64</v>
      </c>
      <c r="F27" s="26" t="s">
        <v>65</v>
      </c>
      <c r="G27" s="26" t="s">
        <v>64</v>
      </c>
      <c r="H27" s="26" t="s">
        <v>65</v>
      </c>
      <c r="I27" s="13" t="s">
        <v>34</v>
      </c>
      <c r="J27" s="13" t="s">
        <v>34</v>
      </c>
    </row>
    <row r="28" customFormat="false" ht="30" hidden="false" customHeight="true" outlineLevel="0" collapsed="false">
      <c r="A28" s="5" t="n">
        <v>114</v>
      </c>
      <c r="B28" s="6" t="s">
        <v>61</v>
      </c>
      <c r="C28" s="7" t="s">
        <v>30</v>
      </c>
      <c r="D28" s="14" t="s">
        <v>34</v>
      </c>
      <c r="E28" s="25" t="s">
        <v>66</v>
      </c>
      <c r="F28" s="14" t="s">
        <v>34</v>
      </c>
      <c r="G28" s="25" t="s">
        <v>66</v>
      </c>
      <c r="H28" s="14" t="s">
        <v>34</v>
      </c>
      <c r="I28" s="14" t="s">
        <v>34</v>
      </c>
      <c r="J28" s="14" t="s">
        <v>34</v>
      </c>
    </row>
    <row r="29" customFormat="false" ht="30" hidden="false" customHeight="true" outlineLevel="0" collapsed="false">
      <c r="A29" s="9" t="n">
        <v>114</v>
      </c>
      <c r="B29" s="10" t="s">
        <v>61</v>
      </c>
      <c r="C29" s="11" t="s">
        <v>33</v>
      </c>
      <c r="D29" s="26" t="s">
        <v>66</v>
      </c>
      <c r="E29" s="13" t="s">
        <v>34</v>
      </c>
      <c r="F29" s="26" t="s">
        <v>66</v>
      </c>
      <c r="G29" s="13" t="s">
        <v>34</v>
      </c>
      <c r="H29" s="26" t="s">
        <v>66</v>
      </c>
      <c r="I29" s="26" t="s">
        <v>66</v>
      </c>
      <c r="J29" s="13" t="s">
        <v>34</v>
      </c>
    </row>
    <row r="30" customFormat="false" ht="30" hidden="false" customHeight="true" outlineLevel="0" collapsed="false">
      <c r="A30" s="5" t="n">
        <v>115</v>
      </c>
      <c r="B30" s="6" t="s">
        <v>67</v>
      </c>
      <c r="C30" s="7" t="s">
        <v>30</v>
      </c>
      <c r="D30" s="27" t="s">
        <v>68</v>
      </c>
      <c r="E30" s="27" t="s">
        <v>68</v>
      </c>
      <c r="F30" s="27" t="s">
        <v>68</v>
      </c>
      <c r="G30" s="27" t="s">
        <v>68</v>
      </c>
      <c r="H30" s="27" t="s">
        <v>68</v>
      </c>
      <c r="I30" s="27" t="s">
        <v>68</v>
      </c>
      <c r="J30" s="27" t="s">
        <v>68</v>
      </c>
    </row>
    <row r="31" customFormat="false" ht="30" hidden="false" customHeight="true" outlineLevel="0" collapsed="false">
      <c r="A31" s="9" t="n">
        <v>115</v>
      </c>
      <c r="B31" s="10" t="s">
        <v>67</v>
      </c>
      <c r="C31" s="11" t="s">
        <v>33</v>
      </c>
      <c r="D31" s="28" t="s">
        <v>68</v>
      </c>
      <c r="E31" s="28" t="s">
        <v>68</v>
      </c>
      <c r="F31" s="28" t="s">
        <v>68</v>
      </c>
      <c r="G31" s="28" t="s">
        <v>68</v>
      </c>
      <c r="H31" s="28" t="s">
        <v>68</v>
      </c>
      <c r="I31" s="28" t="s">
        <v>68</v>
      </c>
      <c r="J31" s="28" t="s">
        <v>68</v>
      </c>
    </row>
    <row r="32" customFormat="false" ht="30" hidden="false" customHeight="true" outlineLevel="0" collapsed="false">
      <c r="A32" s="5" t="n">
        <v>116</v>
      </c>
      <c r="B32" s="6" t="s">
        <v>69</v>
      </c>
      <c r="C32" s="7" t="s">
        <v>30</v>
      </c>
      <c r="D32" s="27" t="s">
        <v>68</v>
      </c>
      <c r="E32" s="27" t="s">
        <v>68</v>
      </c>
      <c r="F32" s="27" t="s">
        <v>68</v>
      </c>
      <c r="G32" s="27" t="s">
        <v>68</v>
      </c>
      <c r="H32" s="27" t="s">
        <v>68</v>
      </c>
      <c r="I32" s="27" t="s">
        <v>68</v>
      </c>
      <c r="J32" s="27" t="s">
        <v>68</v>
      </c>
    </row>
    <row r="33" customFormat="false" ht="30" hidden="false" customHeight="true" outlineLevel="0" collapsed="false">
      <c r="A33" s="9" t="n">
        <v>116</v>
      </c>
      <c r="B33" s="10" t="s">
        <v>69</v>
      </c>
      <c r="C33" s="11" t="s">
        <v>33</v>
      </c>
      <c r="D33" s="28" t="s">
        <v>68</v>
      </c>
      <c r="E33" s="28" t="s">
        <v>68</v>
      </c>
      <c r="F33" s="28" t="s">
        <v>68</v>
      </c>
      <c r="G33" s="28" t="s">
        <v>68</v>
      </c>
      <c r="H33" s="28" t="s">
        <v>68</v>
      </c>
      <c r="I33" s="28" t="s">
        <v>68</v>
      </c>
      <c r="J33" s="28" t="s">
        <v>68</v>
      </c>
    </row>
    <row r="34" customFormat="false" ht="30" hidden="false" customHeight="true" outlineLevel="0" collapsed="false">
      <c r="A34" s="5" t="n">
        <v>201</v>
      </c>
      <c r="B34" s="6" t="s">
        <v>70</v>
      </c>
      <c r="C34" s="7" t="s">
        <v>30</v>
      </c>
      <c r="D34" s="29" t="s">
        <v>71</v>
      </c>
      <c r="E34" s="29" t="s">
        <v>72</v>
      </c>
      <c r="F34" s="29" t="s">
        <v>71</v>
      </c>
      <c r="G34" s="29" t="s">
        <v>72</v>
      </c>
      <c r="H34" s="29" t="s">
        <v>71</v>
      </c>
      <c r="I34" s="29" t="s">
        <v>71</v>
      </c>
      <c r="J34" s="29" t="s">
        <v>72</v>
      </c>
    </row>
    <row r="35" customFormat="false" ht="30" hidden="false" customHeight="true" outlineLevel="0" collapsed="false">
      <c r="A35" s="9" t="n">
        <v>201</v>
      </c>
      <c r="B35" s="10" t="s">
        <v>70</v>
      </c>
      <c r="C35" s="11" t="s">
        <v>33</v>
      </c>
      <c r="D35" s="30" t="s">
        <v>72</v>
      </c>
      <c r="E35" s="30" t="s">
        <v>71</v>
      </c>
      <c r="F35" s="30" t="s">
        <v>72</v>
      </c>
      <c r="G35" s="30" t="s">
        <v>71</v>
      </c>
      <c r="H35" s="30" t="s">
        <v>72</v>
      </c>
      <c r="I35" s="13" t="s">
        <v>34</v>
      </c>
      <c r="J35" s="13" t="s">
        <v>34</v>
      </c>
    </row>
    <row r="36" customFormat="false" ht="30" hidden="false" customHeight="true" outlineLevel="0" collapsed="false">
      <c r="A36" s="5" t="n">
        <v>202</v>
      </c>
      <c r="B36" s="6" t="s">
        <v>70</v>
      </c>
      <c r="C36" s="7" t="s">
        <v>30</v>
      </c>
      <c r="D36" s="29" t="s">
        <v>73</v>
      </c>
      <c r="E36" s="29" t="s">
        <v>74</v>
      </c>
      <c r="F36" s="29" t="s">
        <v>73</v>
      </c>
      <c r="G36" s="29" t="s">
        <v>74</v>
      </c>
      <c r="H36" s="29" t="s">
        <v>73</v>
      </c>
      <c r="I36" s="14" t="s">
        <v>34</v>
      </c>
      <c r="J36" s="14" t="s">
        <v>34</v>
      </c>
    </row>
    <row r="37" customFormat="false" ht="30" hidden="false" customHeight="true" outlineLevel="0" collapsed="false">
      <c r="A37" s="9" t="n">
        <v>202</v>
      </c>
      <c r="B37" s="10" t="s">
        <v>70</v>
      </c>
      <c r="C37" s="11" t="s">
        <v>33</v>
      </c>
      <c r="D37" s="30" t="s">
        <v>74</v>
      </c>
      <c r="E37" s="30" t="s">
        <v>73</v>
      </c>
      <c r="F37" s="30" t="s">
        <v>74</v>
      </c>
      <c r="G37" s="30" t="s">
        <v>73</v>
      </c>
      <c r="H37" s="30" t="s">
        <v>74</v>
      </c>
      <c r="I37" s="30" t="s">
        <v>73</v>
      </c>
      <c r="J37" s="30" t="s">
        <v>74</v>
      </c>
    </row>
    <row r="38" customFormat="false" ht="30" hidden="false" customHeight="true" outlineLevel="0" collapsed="false">
      <c r="A38" s="5" t="n">
        <v>203</v>
      </c>
      <c r="B38" s="6" t="s">
        <v>70</v>
      </c>
      <c r="C38" s="7" t="s">
        <v>30</v>
      </c>
      <c r="D38" s="14" t="s">
        <v>34</v>
      </c>
      <c r="E38" s="29" t="s">
        <v>75</v>
      </c>
      <c r="F38" s="14" t="s">
        <v>34</v>
      </c>
      <c r="G38" s="29" t="s">
        <v>75</v>
      </c>
      <c r="H38" s="14" t="s">
        <v>34</v>
      </c>
      <c r="I38" s="29" t="s">
        <v>75</v>
      </c>
      <c r="J38" s="14" t="s">
        <v>34</v>
      </c>
    </row>
    <row r="39" customFormat="false" ht="30" hidden="false" customHeight="true" outlineLevel="0" collapsed="false">
      <c r="A39" s="9" t="n">
        <v>203</v>
      </c>
      <c r="B39" s="10" t="s">
        <v>70</v>
      </c>
      <c r="C39" s="11" t="s">
        <v>33</v>
      </c>
      <c r="D39" s="30" t="s">
        <v>75</v>
      </c>
      <c r="E39" s="13" t="s">
        <v>34</v>
      </c>
      <c r="F39" s="30" t="s">
        <v>75</v>
      </c>
      <c r="G39" s="13" t="s">
        <v>34</v>
      </c>
      <c r="H39" s="30" t="s">
        <v>75</v>
      </c>
      <c r="I39" s="13" t="s">
        <v>34</v>
      </c>
      <c r="J39" s="13" t="s">
        <v>34</v>
      </c>
    </row>
    <row r="40" customFormat="false" ht="30" hidden="false" customHeight="true" outlineLevel="0" collapsed="false">
      <c r="A40" s="5" t="n">
        <v>204</v>
      </c>
      <c r="B40" s="6" t="s">
        <v>76</v>
      </c>
      <c r="C40" s="7" t="s">
        <v>30</v>
      </c>
      <c r="D40" s="27" t="s">
        <v>68</v>
      </c>
      <c r="E40" s="27" t="s">
        <v>68</v>
      </c>
      <c r="F40" s="27" t="s">
        <v>68</v>
      </c>
      <c r="G40" s="27" t="s">
        <v>68</v>
      </c>
      <c r="H40" s="27" t="s">
        <v>68</v>
      </c>
      <c r="I40" s="27" t="s">
        <v>68</v>
      </c>
      <c r="J40" s="27" t="s">
        <v>68</v>
      </c>
    </row>
    <row r="41" customFormat="false" ht="30" hidden="false" customHeight="true" outlineLevel="0" collapsed="false">
      <c r="A41" s="9" t="n">
        <v>204</v>
      </c>
      <c r="B41" s="10" t="s">
        <v>76</v>
      </c>
      <c r="C41" s="11" t="s">
        <v>33</v>
      </c>
      <c r="D41" s="28" t="s">
        <v>68</v>
      </c>
      <c r="E41" s="28" t="s">
        <v>68</v>
      </c>
      <c r="F41" s="28" t="s">
        <v>68</v>
      </c>
      <c r="G41" s="28" t="s">
        <v>68</v>
      </c>
      <c r="H41" s="28" t="s">
        <v>68</v>
      </c>
      <c r="I41" s="28" t="s">
        <v>68</v>
      </c>
      <c r="J41" s="28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13" min="5" style="0" width="9"/>
    <col collapsed="false" customWidth="true" hidden="false" outlineLevel="0" max="14" min="14" style="0" width="11"/>
    <col collapsed="false" customWidth="true" hidden="false" outlineLevel="0" max="16" min="15" style="0" width="10"/>
  </cols>
  <sheetData>
    <row r="1" customFormat="false" ht="35.05" hidden="false" customHeight="false" outlineLevel="0" collapsed="false">
      <c r="A1" s="4" t="s">
        <v>77</v>
      </c>
      <c r="B1" s="4" t="s">
        <v>78</v>
      </c>
      <c r="C1" s="4" t="s">
        <v>79</v>
      </c>
      <c r="D1" s="4" t="s">
        <v>80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81</v>
      </c>
      <c r="M1" s="4" t="s">
        <v>82</v>
      </c>
      <c r="N1" s="4" t="s">
        <v>83</v>
      </c>
      <c r="O1" s="4" t="s">
        <v>84</v>
      </c>
      <c r="P1" s="4" t="s">
        <v>85</v>
      </c>
    </row>
    <row r="2" customFormat="false" ht="15" hidden="false" customHeight="false" outlineLevel="0" collapsed="false">
      <c r="A2" s="7" t="n">
        <v>1</v>
      </c>
      <c r="B2" s="6" t="s">
        <v>86</v>
      </c>
      <c r="C2" s="6" t="s">
        <v>87</v>
      </c>
      <c r="D2" s="7" t="n">
        <v>109</v>
      </c>
      <c r="E2" s="31" t="s">
        <v>30</v>
      </c>
      <c r="F2" s="31" t="s">
        <v>33</v>
      </c>
      <c r="G2" s="31" t="s">
        <v>30</v>
      </c>
      <c r="H2" s="31" t="s">
        <v>33</v>
      </c>
      <c r="I2" s="31" t="s">
        <v>30</v>
      </c>
      <c r="J2" s="31" t="s">
        <v>30</v>
      </c>
      <c r="K2" s="32" t="s">
        <v>88</v>
      </c>
      <c r="L2" s="7" t="n">
        <f aca="false">COUNTIF('Слоты (для БД)'!$A$2:$A$181,A2)</f>
        <v>6</v>
      </c>
      <c r="M2" s="7" t="n">
        <f aca="false">L2*6</f>
        <v>36</v>
      </c>
      <c r="N2" s="33" t="n">
        <v>30</v>
      </c>
      <c r="O2" s="7" t="n">
        <f aca="false">INT(360/N2)</f>
        <v>12</v>
      </c>
      <c r="P2" s="7" t="n">
        <f aca="false">L2*O2</f>
        <v>72</v>
      </c>
    </row>
    <row r="3" customFormat="false" ht="15" hidden="false" customHeight="false" outlineLevel="0" collapsed="false">
      <c r="A3" s="7" t="n">
        <v>2</v>
      </c>
      <c r="B3" s="6" t="s">
        <v>89</v>
      </c>
      <c r="C3" s="6" t="s">
        <v>90</v>
      </c>
      <c r="D3" s="7" t="n">
        <v>111</v>
      </c>
      <c r="E3" s="34" t="s">
        <v>33</v>
      </c>
      <c r="F3" s="34" t="s">
        <v>30</v>
      </c>
      <c r="G3" s="34" t="s">
        <v>33</v>
      </c>
      <c r="H3" s="34" t="s">
        <v>30</v>
      </c>
      <c r="I3" s="34" t="s">
        <v>33</v>
      </c>
      <c r="J3" s="32" t="s">
        <v>88</v>
      </c>
      <c r="K3" s="34" t="s">
        <v>30</v>
      </c>
      <c r="L3" s="7" t="n">
        <f aca="false">COUNTIF('Слоты (для БД)'!$A$2:$A$181,A3)</f>
        <v>6</v>
      </c>
      <c r="M3" s="7" t="n">
        <f aca="false">L3*6</f>
        <v>36</v>
      </c>
      <c r="N3" s="33" t="n">
        <v>30</v>
      </c>
      <c r="O3" s="7" t="n">
        <f aca="false">INT(360/N3)</f>
        <v>12</v>
      </c>
      <c r="P3" s="7" t="n">
        <f aca="false">L3*O3</f>
        <v>72</v>
      </c>
    </row>
    <row r="4" customFormat="false" ht="15" hidden="false" customHeight="false" outlineLevel="0" collapsed="false">
      <c r="A4" s="7" t="n">
        <v>3</v>
      </c>
      <c r="B4" s="6" t="s">
        <v>91</v>
      </c>
      <c r="C4" s="6" t="s">
        <v>92</v>
      </c>
      <c r="D4" s="7" t="n">
        <v>114</v>
      </c>
      <c r="E4" s="34" t="s">
        <v>33</v>
      </c>
      <c r="F4" s="34" t="s">
        <v>30</v>
      </c>
      <c r="G4" s="34" t="s">
        <v>33</v>
      </c>
      <c r="H4" s="34" t="s">
        <v>30</v>
      </c>
      <c r="I4" s="34" t="s">
        <v>33</v>
      </c>
      <c r="J4" s="34" t="s">
        <v>33</v>
      </c>
      <c r="K4" s="32" t="s">
        <v>88</v>
      </c>
      <c r="L4" s="7" t="n">
        <f aca="false">COUNTIF('Слоты (для БД)'!$A$2:$A$181,A4)</f>
        <v>6</v>
      </c>
      <c r="M4" s="7" t="n">
        <f aca="false">L4*6</f>
        <v>36</v>
      </c>
      <c r="N4" s="33" t="n">
        <v>30</v>
      </c>
      <c r="O4" s="7" t="n">
        <f aca="false">INT(360/N4)</f>
        <v>12</v>
      </c>
      <c r="P4" s="7" t="n">
        <f aca="false">L4*O4</f>
        <v>72</v>
      </c>
    </row>
    <row r="5" customFormat="false" ht="15" hidden="false" customHeight="false" outlineLevel="0" collapsed="false">
      <c r="A5" s="7" t="n">
        <v>4</v>
      </c>
      <c r="B5" s="6" t="s">
        <v>93</v>
      </c>
      <c r="C5" s="6" t="s">
        <v>94</v>
      </c>
      <c r="D5" s="7" t="n">
        <v>111</v>
      </c>
      <c r="E5" s="34" t="s">
        <v>30</v>
      </c>
      <c r="F5" s="34" t="s">
        <v>33</v>
      </c>
      <c r="G5" s="34" t="s">
        <v>30</v>
      </c>
      <c r="H5" s="34" t="s">
        <v>33</v>
      </c>
      <c r="I5" s="34" t="s">
        <v>30</v>
      </c>
      <c r="J5" s="34" t="s">
        <v>30</v>
      </c>
      <c r="K5" s="32" t="s">
        <v>88</v>
      </c>
      <c r="L5" s="7" t="n">
        <f aca="false">COUNTIF('Слоты (для БД)'!$A$2:$A$181,A5)</f>
        <v>6</v>
      </c>
      <c r="M5" s="7" t="n">
        <f aca="false">L5*6</f>
        <v>36</v>
      </c>
      <c r="N5" s="33" t="n">
        <v>20</v>
      </c>
      <c r="O5" s="7" t="n">
        <f aca="false">INT(360/N5)</f>
        <v>18</v>
      </c>
      <c r="P5" s="7" t="n">
        <f aca="false">L5*O5</f>
        <v>108</v>
      </c>
    </row>
    <row r="6" customFormat="false" ht="15" hidden="false" customHeight="false" outlineLevel="0" collapsed="false">
      <c r="A6" s="7" t="n">
        <v>5</v>
      </c>
      <c r="B6" s="6" t="s">
        <v>95</v>
      </c>
      <c r="C6" s="6" t="s">
        <v>96</v>
      </c>
      <c r="D6" s="7" t="n">
        <v>112</v>
      </c>
      <c r="E6" s="34" t="s">
        <v>30</v>
      </c>
      <c r="F6" s="34" t="s">
        <v>33</v>
      </c>
      <c r="G6" s="34" t="s">
        <v>30</v>
      </c>
      <c r="H6" s="34" t="s">
        <v>33</v>
      </c>
      <c r="I6" s="34" t="s">
        <v>30</v>
      </c>
      <c r="J6" s="34" t="s">
        <v>30</v>
      </c>
      <c r="K6" s="32" t="s">
        <v>88</v>
      </c>
      <c r="L6" s="7" t="n">
        <f aca="false">COUNTIF('Слоты (для БД)'!$A$2:$A$181,A6)</f>
        <v>6</v>
      </c>
      <c r="M6" s="7" t="n">
        <f aca="false">L6*6</f>
        <v>36</v>
      </c>
      <c r="N6" s="33" t="n">
        <v>30</v>
      </c>
      <c r="O6" s="7" t="n">
        <f aca="false">INT(360/N6)</f>
        <v>12</v>
      </c>
      <c r="P6" s="7" t="n">
        <f aca="false">L6*O6</f>
        <v>72</v>
      </c>
    </row>
    <row r="7" customFormat="false" ht="15" hidden="false" customHeight="false" outlineLevel="0" collapsed="false">
      <c r="A7" s="7" t="n">
        <v>6</v>
      </c>
      <c r="B7" s="6" t="s">
        <v>97</v>
      </c>
      <c r="C7" s="6" t="s">
        <v>98</v>
      </c>
      <c r="D7" s="7" t="n">
        <v>108</v>
      </c>
      <c r="E7" s="35" t="s">
        <v>30</v>
      </c>
      <c r="F7" s="35" t="s">
        <v>33</v>
      </c>
      <c r="G7" s="35" t="s">
        <v>30</v>
      </c>
      <c r="H7" s="35" t="s">
        <v>33</v>
      </c>
      <c r="I7" s="35" t="s">
        <v>30</v>
      </c>
      <c r="J7" s="35" t="s">
        <v>30</v>
      </c>
      <c r="K7" s="32" t="s">
        <v>88</v>
      </c>
      <c r="L7" s="7" t="n">
        <f aca="false">COUNTIF('Слоты (для БД)'!$A$2:$A$181,A7)</f>
        <v>6</v>
      </c>
      <c r="M7" s="7" t="n">
        <f aca="false">L7*6</f>
        <v>36</v>
      </c>
      <c r="N7" s="33" t="n">
        <v>20</v>
      </c>
      <c r="O7" s="7" t="n">
        <f aca="false">INT(360/N7)</f>
        <v>18</v>
      </c>
      <c r="P7" s="7" t="n">
        <f aca="false">L7*O7</f>
        <v>108</v>
      </c>
    </row>
    <row r="8" customFormat="false" ht="15" hidden="false" customHeight="false" outlineLevel="0" collapsed="false">
      <c r="A8" s="7" t="n">
        <v>7</v>
      </c>
      <c r="B8" s="6" t="s">
        <v>99</v>
      </c>
      <c r="C8" s="6" t="s">
        <v>98</v>
      </c>
      <c r="D8" s="7" t="n">
        <v>108</v>
      </c>
      <c r="E8" s="35" t="s">
        <v>33</v>
      </c>
      <c r="F8" s="35" t="s">
        <v>30</v>
      </c>
      <c r="G8" s="35" t="s">
        <v>33</v>
      </c>
      <c r="H8" s="35" t="s">
        <v>30</v>
      </c>
      <c r="I8" s="35" t="s">
        <v>33</v>
      </c>
      <c r="J8" s="32" t="s">
        <v>88</v>
      </c>
      <c r="K8" s="35" t="s">
        <v>30</v>
      </c>
      <c r="L8" s="7" t="n">
        <f aca="false">COUNTIF('Слоты (для БД)'!$A$2:$A$181,A8)</f>
        <v>6</v>
      </c>
      <c r="M8" s="7" t="n">
        <f aca="false">L8*6</f>
        <v>36</v>
      </c>
      <c r="N8" s="33" t="n">
        <v>20</v>
      </c>
      <c r="O8" s="7" t="n">
        <f aca="false">INT(360/N8)</f>
        <v>18</v>
      </c>
      <c r="P8" s="7" t="n">
        <f aca="false">L8*O8</f>
        <v>108</v>
      </c>
    </row>
    <row r="9" customFormat="false" ht="15" hidden="false" customHeight="false" outlineLevel="0" collapsed="false">
      <c r="A9" s="7" t="n">
        <v>8</v>
      </c>
      <c r="B9" s="6" t="s">
        <v>100</v>
      </c>
      <c r="C9" s="6" t="s">
        <v>101</v>
      </c>
      <c r="D9" s="7" t="n">
        <v>109</v>
      </c>
      <c r="E9" s="31" t="s">
        <v>33</v>
      </c>
      <c r="F9" s="31" t="s">
        <v>30</v>
      </c>
      <c r="G9" s="31" t="s">
        <v>33</v>
      </c>
      <c r="H9" s="31" t="s">
        <v>30</v>
      </c>
      <c r="I9" s="31" t="s">
        <v>33</v>
      </c>
      <c r="J9" s="31" t="s">
        <v>33</v>
      </c>
      <c r="K9" s="32" t="s">
        <v>88</v>
      </c>
      <c r="L9" s="7" t="n">
        <f aca="false">COUNTIF('Слоты (для БД)'!$A$2:$A$181,A9)</f>
        <v>6</v>
      </c>
      <c r="M9" s="7" t="n">
        <f aca="false">L9*6</f>
        <v>36</v>
      </c>
      <c r="N9" s="33" t="n">
        <v>30</v>
      </c>
      <c r="O9" s="7" t="n">
        <f aca="false">INT(360/N9)</f>
        <v>12</v>
      </c>
      <c r="P9" s="7" t="n">
        <f aca="false">L9*O9</f>
        <v>72</v>
      </c>
    </row>
    <row r="10" customFormat="false" ht="15" hidden="false" customHeight="false" outlineLevel="0" collapsed="false">
      <c r="A10" s="7" t="n">
        <v>9</v>
      </c>
      <c r="B10" s="6" t="s">
        <v>102</v>
      </c>
      <c r="C10" s="6" t="s">
        <v>103</v>
      </c>
      <c r="D10" s="7" t="n">
        <v>113</v>
      </c>
      <c r="E10" s="34" t="s">
        <v>30</v>
      </c>
      <c r="F10" s="34" t="s">
        <v>33</v>
      </c>
      <c r="G10" s="34" t="s">
        <v>30</v>
      </c>
      <c r="H10" s="34" t="s">
        <v>33</v>
      </c>
      <c r="I10" s="34" t="s">
        <v>30</v>
      </c>
      <c r="J10" s="34" t="s">
        <v>30</v>
      </c>
      <c r="K10" s="32" t="s">
        <v>88</v>
      </c>
      <c r="L10" s="7" t="n">
        <f aca="false">COUNTIF('Слоты (для БД)'!$A$2:$A$181,A10)</f>
        <v>6</v>
      </c>
      <c r="M10" s="7" t="n">
        <f aca="false">L10*6</f>
        <v>36</v>
      </c>
      <c r="N10" s="33" t="n">
        <v>30</v>
      </c>
      <c r="O10" s="7" t="n">
        <f aca="false">INT(360/N10)</f>
        <v>12</v>
      </c>
      <c r="P10" s="7" t="n">
        <f aca="false">L10*O10</f>
        <v>72</v>
      </c>
    </row>
    <row r="11" customFormat="false" ht="15" hidden="false" customHeight="false" outlineLevel="0" collapsed="false">
      <c r="A11" s="7" t="n">
        <v>10</v>
      </c>
      <c r="B11" s="6" t="s">
        <v>104</v>
      </c>
      <c r="C11" s="6" t="s">
        <v>105</v>
      </c>
      <c r="D11" s="7" t="n">
        <v>112</v>
      </c>
      <c r="E11" s="34" t="s">
        <v>33</v>
      </c>
      <c r="F11" s="34" t="s">
        <v>30</v>
      </c>
      <c r="G11" s="34" t="s">
        <v>33</v>
      </c>
      <c r="H11" s="34" t="s">
        <v>30</v>
      </c>
      <c r="I11" s="34" t="s">
        <v>33</v>
      </c>
      <c r="J11" s="34" t="s">
        <v>33</v>
      </c>
      <c r="K11" s="32" t="s">
        <v>88</v>
      </c>
      <c r="L11" s="7" t="n">
        <f aca="false">COUNTIF('Слоты (для БД)'!$A$2:$A$181,A11)</f>
        <v>6</v>
      </c>
      <c r="M11" s="7" t="n">
        <f aca="false">L11*6</f>
        <v>36</v>
      </c>
      <c r="N11" s="33" t="n">
        <v>30</v>
      </c>
      <c r="O11" s="7" t="n">
        <f aca="false">INT(360/N11)</f>
        <v>12</v>
      </c>
      <c r="P11" s="7" t="n">
        <f aca="false">L11*O11</f>
        <v>72</v>
      </c>
    </row>
    <row r="12" customFormat="false" ht="15" hidden="false" customHeight="false" outlineLevel="0" collapsed="false">
      <c r="A12" s="7" t="n">
        <v>11</v>
      </c>
      <c r="B12" s="6" t="s">
        <v>106</v>
      </c>
      <c r="C12" s="6" t="s">
        <v>107</v>
      </c>
      <c r="D12" s="7" t="n">
        <v>106</v>
      </c>
      <c r="E12" s="36" t="s">
        <v>33</v>
      </c>
      <c r="F12" s="36" t="s">
        <v>30</v>
      </c>
      <c r="G12" s="36" t="s">
        <v>33</v>
      </c>
      <c r="H12" s="36" t="s">
        <v>30</v>
      </c>
      <c r="I12" s="36" t="s">
        <v>33</v>
      </c>
      <c r="J12" s="36" t="s">
        <v>30</v>
      </c>
      <c r="K12" s="32" t="s">
        <v>88</v>
      </c>
      <c r="L12" s="7" t="n">
        <f aca="false">COUNTIF('Слоты (для БД)'!$A$2:$A$181,A12)</f>
        <v>6</v>
      </c>
      <c r="M12" s="7" t="n">
        <f aca="false">L12*6</f>
        <v>36</v>
      </c>
      <c r="N12" s="33" t="n">
        <v>20</v>
      </c>
      <c r="O12" s="7" t="n">
        <f aca="false">INT(360/N12)</f>
        <v>18</v>
      </c>
      <c r="P12" s="7" t="n">
        <f aca="false">L12*O12</f>
        <v>108</v>
      </c>
    </row>
    <row r="13" customFormat="false" ht="15" hidden="false" customHeight="false" outlineLevel="0" collapsed="false">
      <c r="A13" s="7" t="n">
        <v>12</v>
      </c>
      <c r="B13" s="6" t="s">
        <v>108</v>
      </c>
      <c r="C13" s="6" t="s">
        <v>107</v>
      </c>
      <c r="D13" s="7" t="n">
        <v>107</v>
      </c>
      <c r="E13" s="36" t="s">
        <v>30</v>
      </c>
      <c r="F13" s="36" t="s">
        <v>33</v>
      </c>
      <c r="G13" s="36" t="s">
        <v>30</v>
      </c>
      <c r="H13" s="36" t="s">
        <v>33</v>
      </c>
      <c r="I13" s="36" t="s">
        <v>30</v>
      </c>
      <c r="J13" s="36" t="s">
        <v>33</v>
      </c>
      <c r="K13" s="32" t="s">
        <v>88</v>
      </c>
      <c r="L13" s="7" t="n">
        <f aca="false">COUNTIF('Слоты (для БД)'!$A$2:$A$181,A13)</f>
        <v>6</v>
      </c>
      <c r="M13" s="7" t="n">
        <f aca="false">L13*6</f>
        <v>36</v>
      </c>
      <c r="N13" s="33" t="n">
        <v>20</v>
      </c>
      <c r="O13" s="7" t="n">
        <f aca="false">INT(360/N13)</f>
        <v>18</v>
      </c>
      <c r="P13" s="7" t="n">
        <f aca="false">L13*O13</f>
        <v>108</v>
      </c>
    </row>
    <row r="14" customFormat="false" ht="15" hidden="false" customHeight="false" outlineLevel="0" collapsed="false">
      <c r="A14" s="7" t="n">
        <v>13</v>
      </c>
      <c r="B14" s="6" t="s">
        <v>109</v>
      </c>
      <c r="C14" s="6" t="s">
        <v>110</v>
      </c>
      <c r="D14" s="7" t="n">
        <v>110</v>
      </c>
      <c r="E14" s="37" t="s">
        <v>30</v>
      </c>
      <c r="F14" s="37" t="s">
        <v>33</v>
      </c>
      <c r="G14" s="37" t="s">
        <v>30</v>
      </c>
      <c r="H14" s="37" t="s">
        <v>33</v>
      </c>
      <c r="I14" s="37" t="s">
        <v>30</v>
      </c>
      <c r="J14" s="37" t="s">
        <v>30</v>
      </c>
      <c r="K14" s="32" t="s">
        <v>88</v>
      </c>
      <c r="L14" s="7" t="n">
        <f aca="false">COUNTIF('Слоты (для БД)'!$A$2:$A$181,A14)</f>
        <v>6</v>
      </c>
      <c r="M14" s="7" t="n">
        <f aca="false">L14*6</f>
        <v>36</v>
      </c>
      <c r="N14" s="33" t="n">
        <v>30</v>
      </c>
      <c r="O14" s="7" t="n">
        <f aca="false">INT(360/N14)</f>
        <v>12</v>
      </c>
      <c r="P14" s="7" t="n">
        <f aca="false">L14*O14</f>
        <v>72</v>
      </c>
    </row>
    <row r="15" customFormat="false" ht="15" hidden="false" customHeight="false" outlineLevel="0" collapsed="false">
      <c r="A15" s="7" t="n">
        <v>14</v>
      </c>
      <c r="B15" s="6" t="s">
        <v>111</v>
      </c>
      <c r="C15" s="6" t="s">
        <v>112</v>
      </c>
      <c r="D15" s="7" t="n">
        <v>201</v>
      </c>
      <c r="E15" s="38" t="s">
        <v>30</v>
      </c>
      <c r="F15" s="38" t="s">
        <v>33</v>
      </c>
      <c r="G15" s="38" t="s">
        <v>30</v>
      </c>
      <c r="H15" s="38" t="s">
        <v>33</v>
      </c>
      <c r="I15" s="38" t="s">
        <v>30</v>
      </c>
      <c r="J15" s="38" t="s">
        <v>30</v>
      </c>
      <c r="K15" s="32" t="s">
        <v>88</v>
      </c>
      <c r="L15" s="7" t="n">
        <f aca="false">COUNTIF('Слоты (для БД)'!$A$2:$A$181,A15)</f>
        <v>6</v>
      </c>
      <c r="M15" s="7" t="n">
        <f aca="false">L15*6</f>
        <v>36</v>
      </c>
      <c r="N15" s="33" t="n">
        <v>20</v>
      </c>
      <c r="O15" s="7" t="n">
        <f aca="false">INT(360/N15)</f>
        <v>18</v>
      </c>
      <c r="P15" s="7" t="n">
        <f aca="false">L15*O15</f>
        <v>108</v>
      </c>
    </row>
    <row r="16" customFormat="false" ht="15" hidden="false" customHeight="false" outlineLevel="0" collapsed="false">
      <c r="A16" s="7" t="n">
        <v>15</v>
      </c>
      <c r="B16" s="6" t="s">
        <v>113</v>
      </c>
      <c r="C16" s="6" t="s">
        <v>112</v>
      </c>
      <c r="D16" s="7" t="n">
        <v>201</v>
      </c>
      <c r="E16" s="38" t="s">
        <v>33</v>
      </c>
      <c r="F16" s="38" t="s">
        <v>30</v>
      </c>
      <c r="G16" s="38" t="s">
        <v>33</v>
      </c>
      <c r="H16" s="38" t="s">
        <v>30</v>
      </c>
      <c r="I16" s="38" t="s">
        <v>33</v>
      </c>
      <c r="J16" s="32" t="s">
        <v>88</v>
      </c>
      <c r="K16" s="38" t="s">
        <v>30</v>
      </c>
      <c r="L16" s="7" t="n">
        <f aca="false">COUNTIF('Слоты (для БД)'!$A$2:$A$181,A16)</f>
        <v>6</v>
      </c>
      <c r="M16" s="7" t="n">
        <f aca="false">L16*6</f>
        <v>36</v>
      </c>
      <c r="N16" s="33" t="n">
        <v>20</v>
      </c>
      <c r="O16" s="7" t="n">
        <f aca="false">INT(360/N16)</f>
        <v>18</v>
      </c>
      <c r="P16" s="7" t="n">
        <f aca="false">L16*O16</f>
        <v>108</v>
      </c>
    </row>
    <row r="17" customFormat="false" ht="15" hidden="false" customHeight="false" outlineLevel="0" collapsed="false">
      <c r="A17" s="7" t="n">
        <v>16</v>
      </c>
      <c r="B17" s="6" t="s">
        <v>114</v>
      </c>
      <c r="C17" s="6" t="s">
        <v>112</v>
      </c>
      <c r="D17" s="7" t="n">
        <v>202</v>
      </c>
      <c r="E17" s="38" t="s">
        <v>30</v>
      </c>
      <c r="F17" s="38" t="s">
        <v>33</v>
      </c>
      <c r="G17" s="38" t="s">
        <v>30</v>
      </c>
      <c r="H17" s="38" t="s">
        <v>33</v>
      </c>
      <c r="I17" s="38" t="s">
        <v>30</v>
      </c>
      <c r="J17" s="38" t="s">
        <v>33</v>
      </c>
      <c r="K17" s="32" t="s">
        <v>88</v>
      </c>
      <c r="L17" s="7" t="n">
        <f aca="false">COUNTIF('Слоты (для БД)'!$A$2:$A$181,A17)</f>
        <v>6</v>
      </c>
      <c r="M17" s="7" t="n">
        <f aca="false">L17*6</f>
        <v>36</v>
      </c>
      <c r="N17" s="33" t="n">
        <v>20</v>
      </c>
      <c r="O17" s="7" t="n">
        <f aca="false">INT(360/N17)</f>
        <v>18</v>
      </c>
      <c r="P17" s="7" t="n">
        <f aca="false">L17*O17</f>
        <v>108</v>
      </c>
    </row>
    <row r="18" customFormat="false" ht="15" hidden="false" customHeight="false" outlineLevel="0" collapsed="false">
      <c r="A18" s="7" t="n">
        <v>17</v>
      </c>
      <c r="B18" s="6" t="s">
        <v>115</v>
      </c>
      <c r="C18" s="6" t="s">
        <v>112</v>
      </c>
      <c r="D18" s="7" t="n">
        <v>202</v>
      </c>
      <c r="E18" s="38" t="s">
        <v>33</v>
      </c>
      <c r="F18" s="38" t="s">
        <v>30</v>
      </c>
      <c r="G18" s="38" t="s">
        <v>33</v>
      </c>
      <c r="H18" s="38" t="s">
        <v>30</v>
      </c>
      <c r="I18" s="38" t="s">
        <v>33</v>
      </c>
      <c r="J18" s="32" t="s">
        <v>88</v>
      </c>
      <c r="K18" s="38" t="s">
        <v>33</v>
      </c>
      <c r="L18" s="7" t="n">
        <f aca="false">COUNTIF('Слоты (для БД)'!$A$2:$A$181,A18)</f>
        <v>6</v>
      </c>
      <c r="M18" s="7" t="n">
        <f aca="false">L18*6</f>
        <v>36</v>
      </c>
      <c r="N18" s="33" t="n">
        <v>20</v>
      </c>
      <c r="O18" s="7" t="n">
        <f aca="false">INT(360/N18)</f>
        <v>18</v>
      </c>
      <c r="P18" s="7" t="n">
        <f aca="false">L18*O18</f>
        <v>108</v>
      </c>
    </row>
    <row r="19" customFormat="false" ht="15" hidden="false" customHeight="false" outlineLevel="0" collapsed="false">
      <c r="A19" s="7" t="n">
        <v>18</v>
      </c>
      <c r="B19" s="6" t="s">
        <v>116</v>
      </c>
      <c r="C19" s="6" t="s">
        <v>112</v>
      </c>
      <c r="D19" s="7" t="n">
        <v>203</v>
      </c>
      <c r="E19" s="38" t="s">
        <v>33</v>
      </c>
      <c r="F19" s="38" t="s">
        <v>30</v>
      </c>
      <c r="G19" s="38" t="s">
        <v>33</v>
      </c>
      <c r="H19" s="38" t="s">
        <v>30</v>
      </c>
      <c r="I19" s="38" t="s">
        <v>33</v>
      </c>
      <c r="J19" s="38" t="s">
        <v>30</v>
      </c>
      <c r="K19" s="32" t="s">
        <v>88</v>
      </c>
      <c r="L19" s="7" t="n">
        <f aca="false">COUNTIF('Слоты (для БД)'!$A$2:$A$181,A19)</f>
        <v>6</v>
      </c>
      <c r="M19" s="7" t="n">
        <f aca="false">L19*6</f>
        <v>36</v>
      </c>
      <c r="N19" s="33" t="n">
        <v>20</v>
      </c>
      <c r="O19" s="7" t="n">
        <f aca="false">INT(360/N19)</f>
        <v>18</v>
      </c>
      <c r="P19" s="7" t="n">
        <f aca="false">L19*O19</f>
        <v>108</v>
      </c>
    </row>
    <row r="20" customFormat="false" ht="15" hidden="false" customHeight="false" outlineLevel="0" collapsed="false">
      <c r="A20" s="7" t="n">
        <v>19</v>
      </c>
      <c r="B20" s="6" t="s">
        <v>117</v>
      </c>
      <c r="C20" s="6" t="s">
        <v>118</v>
      </c>
      <c r="D20" s="7" t="n">
        <v>101</v>
      </c>
      <c r="E20" s="39" t="s">
        <v>30</v>
      </c>
      <c r="F20" s="39" t="s">
        <v>33</v>
      </c>
      <c r="G20" s="39" t="s">
        <v>30</v>
      </c>
      <c r="H20" s="39" t="s">
        <v>33</v>
      </c>
      <c r="I20" s="39" t="s">
        <v>30</v>
      </c>
      <c r="J20" s="39" t="s">
        <v>30</v>
      </c>
      <c r="K20" s="32" t="s">
        <v>88</v>
      </c>
      <c r="L20" s="7" t="n">
        <f aca="false">COUNTIF('Слоты (для БД)'!$A$2:$A$181,A20)</f>
        <v>6</v>
      </c>
      <c r="M20" s="7" t="n">
        <f aca="false">L20*6</f>
        <v>36</v>
      </c>
      <c r="N20" s="33" t="n">
        <v>20</v>
      </c>
      <c r="O20" s="7" t="n">
        <f aca="false">INT(360/N20)</f>
        <v>18</v>
      </c>
      <c r="P20" s="7" t="n">
        <f aca="false">L20*O20</f>
        <v>108</v>
      </c>
    </row>
    <row r="21" customFormat="false" ht="15" hidden="false" customHeight="false" outlineLevel="0" collapsed="false">
      <c r="A21" s="7" t="n">
        <v>20</v>
      </c>
      <c r="B21" s="6" t="s">
        <v>119</v>
      </c>
      <c r="C21" s="6" t="s">
        <v>118</v>
      </c>
      <c r="D21" s="7" t="n">
        <v>101</v>
      </c>
      <c r="E21" s="39" t="s">
        <v>33</v>
      </c>
      <c r="F21" s="39" t="s">
        <v>30</v>
      </c>
      <c r="G21" s="39" t="s">
        <v>33</v>
      </c>
      <c r="H21" s="39" t="s">
        <v>30</v>
      </c>
      <c r="I21" s="39" t="s">
        <v>33</v>
      </c>
      <c r="J21" s="32" t="s">
        <v>88</v>
      </c>
      <c r="K21" s="39" t="s">
        <v>30</v>
      </c>
      <c r="L21" s="7" t="n">
        <f aca="false">COUNTIF('Слоты (для БД)'!$A$2:$A$181,A21)</f>
        <v>6</v>
      </c>
      <c r="M21" s="7" t="n">
        <f aca="false">L21*6</f>
        <v>36</v>
      </c>
      <c r="N21" s="33" t="n">
        <v>20</v>
      </c>
      <c r="O21" s="7" t="n">
        <f aca="false">INT(360/N21)</f>
        <v>18</v>
      </c>
      <c r="P21" s="7" t="n">
        <f aca="false">L21*O21</f>
        <v>108</v>
      </c>
    </row>
    <row r="22" customFormat="false" ht="15" hidden="false" customHeight="false" outlineLevel="0" collapsed="false">
      <c r="A22" s="7" t="n">
        <v>21</v>
      </c>
      <c r="B22" s="6" t="s">
        <v>120</v>
      </c>
      <c r="C22" s="6" t="s">
        <v>118</v>
      </c>
      <c r="D22" s="7" t="n">
        <v>102</v>
      </c>
      <c r="E22" s="39" t="s">
        <v>30</v>
      </c>
      <c r="F22" s="39" t="s">
        <v>33</v>
      </c>
      <c r="G22" s="39" t="s">
        <v>30</v>
      </c>
      <c r="H22" s="39" t="s">
        <v>33</v>
      </c>
      <c r="I22" s="39" t="s">
        <v>30</v>
      </c>
      <c r="J22" s="39" t="s">
        <v>33</v>
      </c>
      <c r="K22" s="32" t="s">
        <v>88</v>
      </c>
      <c r="L22" s="7" t="n">
        <f aca="false">COUNTIF('Слоты (для БД)'!$A$2:$A$181,A22)</f>
        <v>6</v>
      </c>
      <c r="M22" s="7" t="n">
        <f aca="false">L22*6</f>
        <v>36</v>
      </c>
      <c r="N22" s="33" t="n">
        <v>20</v>
      </c>
      <c r="O22" s="7" t="n">
        <f aca="false">INT(360/N22)</f>
        <v>18</v>
      </c>
      <c r="P22" s="7" t="n">
        <f aca="false">L22*O22</f>
        <v>108</v>
      </c>
    </row>
    <row r="23" customFormat="false" ht="15" hidden="false" customHeight="false" outlineLevel="0" collapsed="false">
      <c r="A23" s="7" t="n">
        <v>22</v>
      </c>
      <c r="B23" s="6" t="s">
        <v>121</v>
      </c>
      <c r="C23" s="6" t="s">
        <v>118</v>
      </c>
      <c r="D23" s="7" t="n">
        <v>102</v>
      </c>
      <c r="E23" s="39" t="s">
        <v>33</v>
      </c>
      <c r="F23" s="39" t="s">
        <v>30</v>
      </c>
      <c r="G23" s="39" t="s">
        <v>33</v>
      </c>
      <c r="H23" s="39" t="s">
        <v>30</v>
      </c>
      <c r="I23" s="39" t="s">
        <v>33</v>
      </c>
      <c r="J23" s="32" t="s">
        <v>88</v>
      </c>
      <c r="K23" s="39" t="s">
        <v>33</v>
      </c>
      <c r="L23" s="7" t="n">
        <f aca="false">COUNTIF('Слоты (для БД)'!$A$2:$A$181,A23)</f>
        <v>6</v>
      </c>
      <c r="M23" s="7" t="n">
        <f aca="false">L23*6</f>
        <v>36</v>
      </c>
      <c r="N23" s="33" t="n">
        <v>20</v>
      </c>
      <c r="O23" s="7" t="n">
        <f aca="false">INT(360/N23)</f>
        <v>18</v>
      </c>
      <c r="P23" s="7" t="n">
        <f aca="false">L23*O23</f>
        <v>108</v>
      </c>
    </row>
    <row r="24" customFormat="false" ht="15" hidden="false" customHeight="false" outlineLevel="0" collapsed="false">
      <c r="A24" s="7" t="n">
        <v>23</v>
      </c>
      <c r="B24" s="6" t="s">
        <v>122</v>
      </c>
      <c r="C24" s="6" t="s">
        <v>118</v>
      </c>
      <c r="D24" s="7" t="n">
        <v>103</v>
      </c>
      <c r="E24" s="39" t="s">
        <v>30</v>
      </c>
      <c r="F24" s="39" t="s">
        <v>33</v>
      </c>
      <c r="G24" s="39" t="s">
        <v>30</v>
      </c>
      <c r="H24" s="39" t="s">
        <v>33</v>
      </c>
      <c r="I24" s="39" t="s">
        <v>30</v>
      </c>
      <c r="J24" s="32" t="s">
        <v>88</v>
      </c>
      <c r="K24" s="39" t="s">
        <v>30</v>
      </c>
      <c r="L24" s="7" t="n">
        <f aca="false">COUNTIF('Слоты (для БД)'!$A$2:$A$181,A24)</f>
        <v>6</v>
      </c>
      <c r="M24" s="7" t="n">
        <f aca="false">L24*6</f>
        <v>36</v>
      </c>
      <c r="N24" s="33" t="n">
        <v>20</v>
      </c>
      <c r="O24" s="7" t="n">
        <f aca="false">INT(360/N24)</f>
        <v>18</v>
      </c>
      <c r="P24" s="7" t="n">
        <f aca="false">L24*O24</f>
        <v>108</v>
      </c>
    </row>
    <row r="25" customFormat="false" ht="15" hidden="false" customHeight="false" outlineLevel="0" collapsed="false">
      <c r="A25" s="7" t="n">
        <v>24</v>
      </c>
      <c r="B25" s="6" t="s">
        <v>123</v>
      </c>
      <c r="C25" s="6" t="s">
        <v>118</v>
      </c>
      <c r="D25" s="7" t="n">
        <v>103</v>
      </c>
      <c r="E25" s="39" t="s">
        <v>33</v>
      </c>
      <c r="F25" s="39" t="s">
        <v>30</v>
      </c>
      <c r="G25" s="39" t="s">
        <v>33</v>
      </c>
      <c r="H25" s="39" t="s">
        <v>30</v>
      </c>
      <c r="I25" s="39" t="s">
        <v>33</v>
      </c>
      <c r="J25" s="39" t="s">
        <v>30</v>
      </c>
      <c r="K25" s="32" t="s">
        <v>88</v>
      </c>
      <c r="L25" s="7" t="n">
        <f aca="false">COUNTIF('Слоты (для БД)'!$A$2:$A$181,A25)</f>
        <v>6</v>
      </c>
      <c r="M25" s="7" t="n">
        <f aca="false">L25*6</f>
        <v>36</v>
      </c>
      <c r="N25" s="33" t="n">
        <v>20</v>
      </c>
      <c r="O25" s="7" t="n">
        <f aca="false">INT(360/N25)</f>
        <v>18</v>
      </c>
      <c r="P25" s="7" t="n">
        <f aca="false">L25*O25</f>
        <v>108</v>
      </c>
    </row>
    <row r="26" customFormat="false" ht="15" hidden="false" customHeight="false" outlineLevel="0" collapsed="false">
      <c r="A26" s="7" t="n">
        <v>25</v>
      </c>
      <c r="B26" s="6" t="s">
        <v>124</v>
      </c>
      <c r="C26" s="6" t="s">
        <v>125</v>
      </c>
      <c r="D26" s="7" t="n">
        <v>106</v>
      </c>
      <c r="E26" s="36" t="s">
        <v>30</v>
      </c>
      <c r="F26" s="36" t="s">
        <v>33</v>
      </c>
      <c r="G26" s="36" t="s">
        <v>30</v>
      </c>
      <c r="H26" s="36" t="s">
        <v>33</v>
      </c>
      <c r="I26" s="36" t="s">
        <v>30</v>
      </c>
      <c r="J26" s="32" t="s">
        <v>88</v>
      </c>
      <c r="K26" s="36" t="s">
        <v>30</v>
      </c>
      <c r="L26" s="7" t="n">
        <f aca="false">COUNTIF('Слоты (для БД)'!$A$2:$A$181,A26)</f>
        <v>6</v>
      </c>
      <c r="M26" s="7" t="n">
        <f aca="false">L26*6</f>
        <v>36</v>
      </c>
      <c r="N26" s="33" t="n">
        <v>20</v>
      </c>
      <c r="O26" s="7" t="n">
        <f aca="false">INT(360/N26)</f>
        <v>18</v>
      </c>
      <c r="P26" s="7" t="n">
        <f aca="false">L26*O26</f>
        <v>108</v>
      </c>
    </row>
    <row r="27" customFormat="false" ht="15" hidden="false" customHeight="false" outlineLevel="0" collapsed="false">
      <c r="A27" s="7" t="n">
        <v>26</v>
      </c>
      <c r="B27" s="6" t="s">
        <v>126</v>
      </c>
      <c r="C27" s="6" t="s">
        <v>127</v>
      </c>
      <c r="D27" s="7" t="n">
        <v>105</v>
      </c>
      <c r="E27" s="40" t="s">
        <v>33</v>
      </c>
      <c r="F27" s="40" t="s">
        <v>30</v>
      </c>
      <c r="G27" s="40" t="s">
        <v>33</v>
      </c>
      <c r="H27" s="40" t="s">
        <v>30</v>
      </c>
      <c r="I27" s="40" t="s">
        <v>33</v>
      </c>
      <c r="J27" s="40" t="s">
        <v>30</v>
      </c>
      <c r="K27" s="32" t="s">
        <v>88</v>
      </c>
      <c r="L27" s="7" t="n">
        <f aca="false">COUNTIF('Слоты (для БД)'!$A$2:$A$181,A27)</f>
        <v>6</v>
      </c>
      <c r="M27" s="7" t="n">
        <f aca="false">L27*6</f>
        <v>36</v>
      </c>
      <c r="N27" s="33" t="n">
        <v>30</v>
      </c>
      <c r="O27" s="7" t="n">
        <f aca="false">INT(360/N27)</f>
        <v>12</v>
      </c>
      <c r="P27" s="7" t="n">
        <f aca="false">L27*O27</f>
        <v>72</v>
      </c>
    </row>
    <row r="28" customFormat="false" ht="15" hidden="false" customHeight="false" outlineLevel="0" collapsed="false">
      <c r="A28" s="7" t="n">
        <v>27</v>
      </c>
      <c r="B28" s="6" t="s">
        <v>128</v>
      </c>
      <c r="C28" s="6" t="s">
        <v>129</v>
      </c>
      <c r="D28" s="7" t="n">
        <v>104</v>
      </c>
      <c r="E28" s="40" t="s">
        <v>30</v>
      </c>
      <c r="F28" s="40" t="s">
        <v>33</v>
      </c>
      <c r="G28" s="40" t="s">
        <v>30</v>
      </c>
      <c r="H28" s="40" t="s">
        <v>33</v>
      </c>
      <c r="I28" s="40" t="s">
        <v>30</v>
      </c>
      <c r="J28" s="40" t="s">
        <v>30</v>
      </c>
      <c r="K28" s="32" t="s">
        <v>88</v>
      </c>
      <c r="L28" s="7" t="n">
        <f aca="false">COUNTIF('Слоты (для БД)'!$A$2:$A$181,A28)</f>
        <v>6</v>
      </c>
      <c r="M28" s="7" t="n">
        <f aca="false">L28*6</f>
        <v>36</v>
      </c>
      <c r="N28" s="33" t="n">
        <v>20</v>
      </c>
      <c r="O28" s="7" t="n">
        <f aca="false">INT(360/N28)</f>
        <v>18</v>
      </c>
      <c r="P28" s="7" t="n">
        <f aca="false">L28*O28</f>
        <v>108</v>
      </c>
    </row>
    <row r="29" customFormat="false" ht="15" hidden="false" customHeight="false" outlineLevel="0" collapsed="false">
      <c r="A29" s="7" t="n">
        <v>28</v>
      </c>
      <c r="B29" s="6" t="s">
        <v>130</v>
      </c>
      <c r="C29" s="6" t="s">
        <v>129</v>
      </c>
      <c r="D29" s="7" t="n">
        <v>104</v>
      </c>
      <c r="E29" s="40" t="s">
        <v>33</v>
      </c>
      <c r="F29" s="40" t="s">
        <v>30</v>
      </c>
      <c r="G29" s="40" t="s">
        <v>33</v>
      </c>
      <c r="H29" s="40" t="s">
        <v>30</v>
      </c>
      <c r="I29" s="40" t="s">
        <v>33</v>
      </c>
      <c r="J29" s="32" t="s">
        <v>88</v>
      </c>
      <c r="K29" s="40" t="s">
        <v>30</v>
      </c>
      <c r="L29" s="7" t="n">
        <f aca="false">COUNTIF('Слоты (для БД)'!$A$2:$A$181,A29)</f>
        <v>6</v>
      </c>
      <c r="M29" s="7" t="n">
        <f aca="false">L29*6</f>
        <v>36</v>
      </c>
      <c r="N29" s="33" t="n">
        <v>20</v>
      </c>
      <c r="O29" s="7" t="n">
        <f aca="false">INT(360/N29)</f>
        <v>18</v>
      </c>
      <c r="P29" s="7" t="n">
        <f aca="false">L29*O29</f>
        <v>108</v>
      </c>
    </row>
    <row r="30" customFormat="false" ht="15" hidden="false" customHeight="false" outlineLevel="0" collapsed="false">
      <c r="A30" s="7" t="n">
        <v>29</v>
      </c>
      <c r="B30" s="6" t="s">
        <v>131</v>
      </c>
      <c r="C30" s="6" t="s">
        <v>129</v>
      </c>
      <c r="D30" s="7" t="n">
        <v>105</v>
      </c>
      <c r="E30" s="40" t="s">
        <v>30</v>
      </c>
      <c r="F30" s="40" t="s">
        <v>33</v>
      </c>
      <c r="G30" s="40" t="s">
        <v>30</v>
      </c>
      <c r="H30" s="40" t="s">
        <v>33</v>
      </c>
      <c r="I30" s="40" t="s">
        <v>30</v>
      </c>
      <c r="J30" s="40" t="s">
        <v>33</v>
      </c>
      <c r="K30" s="32" t="s">
        <v>88</v>
      </c>
      <c r="L30" s="7" t="n">
        <f aca="false">COUNTIF('Слоты (для БД)'!$A$2:$A$181,A30)</f>
        <v>6</v>
      </c>
      <c r="M30" s="7" t="n">
        <f aca="false">L30*6</f>
        <v>36</v>
      </c>
      <c r="N30" s="33" t="n">
        <v>20</v>
      </c>
      <c r="O30" s="7" t="n">
        <f aca="false">INT(360/N30)</f>
        <v>18</v>
      </c>
      <c r="P30" s="7" t="n">
        <f aca="false">L30*O30</f>
        <v>108</v>
      </c>
    </row>
    <row r="31" customFormat="false" ht="15" hidden="false" customHeight="false" outlineLevel="0" collapsed="false">
      <c r="A31" s="7" t="n">
        <v>30</v>
      </c>
      <c r="B31" s="6" t="s">
        <v>132</v>
      </c>
      <c r="C31" s="6" t="s">
        <v>133</v>
      </c>
      <c r="D31" s="7" t="n">
        <v>113</v>
      </c>
      <c r="E31" s="34" t="s">
        <v>33</v>
      </c>
      <c r="F31" s="34" t="s">
        <v>30</v>
      </c>
      <c r="G31" s="34" t="s">
        <v>33</v>
      </c>
      <c r="H31" s="34" t="s">
        <v>30</v>
      </c>
      <c r="I31" s="34" t="s">
        <v>33</v>
      </c>
      <c r="J31" s="32" t="s">
        <v>88</v>
      </c>
      <c r="K31" s="34" t="s">
        <v>30</v>
      </c>
      <c r="L31" s="7" t="n">
        <f aca="false">COUNTIF('Слоты (для БД)'!$A$2:$A$181,A31)</f>
        <v>6</v>
      </c>
      <c r="M31" s="7" t="n">
        <f aca="false">L31*6</f>
        <v>36</v>
      </c>
      <c r="N31" s="33" t="n">
        <v>30</v>
      </c>
      <c r="O31" s="7" t="n">
        <f aca="false">INT(360/N31)</f>
        <v>12</v>
      </c>
      <c r="P31" s="7" t="n">
        <f aca="false">L31*O31</f>
        <v>72</v>
      </c>
    </row>
    <row r="32" customFormat="false" ht="15" hidden="false" customHeight="false" outlineLevel="0" collapsed="false">
      <c r="B32" s="41" t="s">
        <v>134</v>
      </c>
      <c r="L32" s="5" t="n">
        <f aca="false">SUM(L2:L31)</f>
        <v>180</v>
      </c>
      <c r="M32" s="5" t="n">
        <f aca="false">SUM(M2:M31)</f>
        <v>1080</v>
      </c>
      <c r="P32" s="5" t="n">
        <f aca="false">SUM(P2:P31)</f>
        <v>2880</v>
      </c>
    </row>
    <row r="33" customFormat="false" ht="15" hidden="false" customHeight="false" outlineLevel="0" collapsed="false">
      <c r="B33" s="42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16" min="3" style="0" width="7"/>
  </cols>
  <sheetData>
    <row r="1" customFormat="false" ht="15" hidden="false" customHeight="true" outlineLevel="0" collapsed="false">
      <c r="A1" s="4" t="s">
        <v>79</v>
      </c>
      <c r="B1" s="4" t="s">
        <v>136</v>
      </c>
      <c r="C1" s="4" t="s">
        <v>22</v>
      </c>
      <c r="D1" s="4"/>
      <c r="E1" s="4" t="s">
        <v>23</v>
      </c>
      <c r="F1" s="4"/>
      <c r="G1" s="4" t="s">
        <v>24</v>
      </c>
      <c r="H1" s="4"/>
      <c r="I1" s="4" t="s">
        <v>25</v>
      </c>
      <c r="J1" s="4"/>
      <c r="K1" s="4" t="s">
        <v>26</v>
      </c>
      <c r="L1" s="4"/>
      <c r="M1" s="4" t="s">
        <v>27</v>
      </c>
      <c r="N1" s="4"/>
      <c r="O1" s="4" t="s">
        <v>28</v>
      </c>
      <c r="P1" s="4"/>
    </row>
    <row r="2" customFormat="false" ht="15" hidden="false" customHeight="false" outlineLevel="0" collapsed="false">
      <c r="A2" s="4"/>
      <c r="B2" s="4"/>
      <c r="C2" s="4" t="s">
        <v>30</v>
      </c>
      <c r="D2" s="4" t="s">
        <v>33</v>
      </c>
      <c r="E2" s="4" t="s">
        <v>30</v>
      </c>
      <c r="F2" s="4" t="s">
        <v>33</v>
      </c>
      <c r="G2" s="4" t="s">
        <v>30</v>
      </c>
      <c r="H2" s="4" t="s">
        <v>33</v>
      </c>
      <c r="I2" s="4" t="s">
        <v>30</v>
      </c>
      <c r="J2" s="4" t="s">
        <v>33</v>
      </c>
      <c r="K2" s="4" t="s">
        <v>30</v>
      </c>
      <c r="L2" s="4" t="s">
        <v>33</v>
      </c>
      <c r="M2" s="4" t="s">
        <v>30</v>
      </c>
      <c r="N2" s="4" t="s">
        <v>33</v>
      </c>
      <c r="O2" s="4" t="s">
        <v>30</v>
      </c>
      <c r="P2" s="4" t="s">
        <v>33</v>
      </c>
    </row>
    <row r="3" customFormat="false" ht="15" hidden="false" customHeight="false" outlineLevel="0" collapsed="false">
      <c r="A3" s="6" t="s">
        <v>87</v>
      </c>
      <c r="B3" s="7" t="n">
        <v>1</v>
      </c>
      <c r="C3" s="43" t="n">
        <f aca="false">COUNTIFS('Слоты (для БД)'!$C$2:$C$181,$A3,'Слоты (для БД)'!$E$2:$E$181,1,'Слоты (для БД)'!$G$2:$G$181,"08–14")</f>
        <v>1</v>
      </c>
      <c r="D3" s="43" t="n">
        <f aca="false">COUNTIFS('Слоты (для БД)'!$C$2:$C$181,$A3,'Слоты (для БД)'!$E$2:$E$181,1,'Слоты (для БД)'!$G$2:$G$181,"14–20")</f>
        <v>0</v>
      </c>
      <c r="E3" s="43" t="n">
        <f aca="false">COUNTIFS('Слоты (для БД)'!$C$2:$C$181,$A3,'Слоты (для БД)'!$E$2:$E$181,2,'Слоты (для БД)'!$G$2:$G$181,"08–14")</f>
        <v>0</v>
      </c>
      <c r="F3" s="43" t="n">
        <f aca="false">COUNTIFS('Слоты (для БД)'!$C$2:$C$181,$A3,'Слоты (для БД)'!$E$2:$E$181,2,'Слоты (для БД)'!$G$2:$G$181,"14–20")</f>
        <v>1</v>
      </c>
      <c r="G3" s="43" t="n">
        <f aca="false">COUNTIFS('Слоты (для БД)'!$C$2:$C$181,$A3,'Слоты (для БД)'!$E$2:$E$181,3,'Слоты (для БД)'!$G$2:$G$181,"08–14")</f>
        <v>1</v>
      </c>
      <c r="H3" s="43" t="n">
        <f aca="false">COUNTIFS('Слоты (для БД)'!$C$2:$C$181,$A3,'Слоты (для БД)'!$E$2:$E$181,3,'Слоты (для БД)'!$G$2:$G$181,"14–20")</f>
        <v>0</v>
      </c>
      <c r="I3" s="43" t="n">
        <f aca="false">COUNTIFS('Слоты (для БД)'!$C$2:$C$181,$A3,'Слоты (для БД)'!$E$2:$E$181,4,'Слоты (для БД)'!$G$2:$G$181,"08–14")</f>
        <v>0</v>
      </c>
      <c r="J3" s="43" t="n">
        <f aca="false">COUNTIFS('Слоты (для БД)'!$C$2:$C$181,$A3,'Слоты (для БД)'!$E$2:$E$181,4,'Слоты (для БД)'!$G$2:$G$181,"14–20")</f>
        <v>1</v>
      </c>
      <c r="K3" s="43" t="n">
        <f aca="false">COUNTIFS('Слоты (для БД)'!$C$2:$C$181,$A3,'Слоты (для БД)'!$E$2:$E$181,5,'Слоты (для БД)'!$G$2:$G$181,"08–14")</f>
        <v>1</v>
      </c>
      <c r="L3" s="43" t="n">
        <f aca="false">COUNTIFS('Слоты (для БД)'!$C$2:$C$181,$A3,'Слоты (для БД)'!$E$2:$E$181,5,'Слоты (для БД)'!$G$2:$G$181,"14–20")</f>
        <v>0</v>
      </c>
      <c r="M3" s="43" t="n">
        <f aca="false">COUNTIFS('Слоты (для БД)'!$C$2:$C$181,$A3,'Слоты (для БД)'!$E$2:$E$181,6,'Слоты (для БД)'!$G$2:$G$181,"08–14")</f>
        <v>1</v>
      </c>
      <c r="N3" s="43" t="n">
        <f aca="false">COUNTIFS('Слоты (для БД)'!$C$2:$C$181,$A3,'Слоты (для БД)'!$E$2:$E$181,6,'Слоты (для БД)'!$G$2:$G$181,"14–20")</f>
        <v>0</v>
      </c>
      <c r="O3" s="43" t="n">
        <f aca="false">COUNTIFS('Слоты (для БД)'!$C$2:$C$181,$A3,'Слоты (для БД)'!$E$2:$E$181,7,'Слоты (для БД)'!$G$2:$G$181,"08–14")</f>
        <v>0</v>
      </c>
      <c r="P3" s="43" t="n">
        <f aca="false">COUNTIFS('Слоты (для БД)'!$C$2:$C$181,$A3,'Слоты (для БД)'!$E$2:$E$181,7,'Слоты (для БД)'!$G$2:$G$181,"14–20")</f>
        <v>0</v>
      </c>
    </row>
    <row r="4" customFormat="false" ht="15" hidden="false" customHeight="false" outlineLevel="0" collapsed="false">
      <c r="A4" s="6" t="s">
        <v>90</v>
      </c>
      <c r="B4" s="7" t="n">
        <v>1</v>
      </c>
      <c r="C4" s="43" t="n">
        <f aca="false">COUNTIFS('Слоты (для БД)'!$C$2:$C$181,$A4,'Слоты (для БД)'!$E$2:$E$181,1,'Слоты (для БД)'!$G$2:$G$181,"08–14")</f>
        <v>0</v>
      </c>
      <c r="D4" s="43" t="n">
        <f aca="false">COUNTIFS('Слоты (для БД)'!$C$2:$C$181,$A4,'Слоты (для БД)'!$E$2:$E$181,1,'Слоты (для БД)'!$G$2:$G$181,"14–20")</f>
        <v>1</v>
      </c>
      <c r="E4" s="43" t="n">
        <f aca="false">COUNTIFS('Слоты (для БД)'!$C$2:$C$181,$A4,'Слоты (для БД)'!$E$2:$E$181,2,'Слоты (для БД)'!$G$2:$G$181,"08–14")</f>
        <v>1</v>
      </c>
      <c r="F4" s="43" t="n">
        <f aca="false">COUNTIFS('Слоты (для БД)'!$C$2:$C$181,$A4,'Слоты (для БД)'!$E$2:$E$181,2,'Слоты (для БД)'!$G$2:$G$181,"14–20")</f>
        <v>0</v>
      </c>
      <c r="G4" s="43" t="n">
        <f aca="false">COUNTIFS('Слоты (для БД)'!$C$2:$C$181,$A4,'Слоты (для БД)'!$E$2:$E$181,3,'Слоты (для БД)'!$G$2:$G$181,"08–14")</f>
        <v>0</v>
      </c>
      <c r="H4" s="43" t="n">
        <f aca="false">COUNTIFS('Слоты (для БД)'!$C$2:$C$181,$A4,'Слоты (для БД)'!$E$2:$E$181,3,'Слоты (для БД)'!$G$2:$G$181,"14–20")</f>
        <v>1</v>
      </c>
      <c r="I4" s="43" t="n">
        <f aca="false">COUNTIFS('Слоты (для БД)'!$C$2:$C$181,$A4,'Слоты (для БД)'!$E$2:$E$181,4,'Слоты (для БД)'!$G$2:$G$181,"08–14")</f>
        <v>1</v>
      </c>
      <c r="J4" s="43" t="n">
        <f aca="false">COUNTIFS('Слоты (для БД)'!$C$2:$C$181,$A4,'Слоты (для БД)'!$E$2:$E$181,4,'Слоты (для БД)'!$G$2:$G$181,"14–20")</f>
        <v>0</v>
      </c>
      <c r="K4" s="43" t="n">
        <f aca="false">COUNTIFS('Слоты (для БД)'!$C$2:$C$181,$A4,'Слоты (для БД)'!$E$2:$E$181,5,'Слоты (для БД)'!$G$2:$G$181,"08–14")</f>
        <v>0</v>
      </c>
      <c r="L4" s="43" t="n">
        <f aca="false">COUNTIFS('Слоты (для БД)'!$C$2:$C$181,$A4,'Слоты (для БД)'!$E$2:$E$181,5,'Слоты (для БД)'!$G$2:$G$181,"14–20")</f>
        <v>1</v>
      </c>
      <c r="M4" s="43" t="n">
        <f aca="false">COUNTIFS('Слоты (для БД)'!$C$2:$C$181,$A4,'Слоты (для БД)'!$E$2:$E$181,6,'Слоты (для БД)'!$G$2:$G$181,"08–14")</f>
        <v>0</v>
      </c>
      <c r="N4" s="43" t="n">
        <f aca="false">COUNTIFS('Слоты (для БД)'!$C$2:$C$181,$A4,'Слоты (для БД)'!$E$2:$E$181,6,'Слоты (для БД)'!$G$2:$G$181,"14–20")</f>
        <v>0</v>
      </c>
      <c r="O4" s="43" t="n">
        <f aca="false">COUNTIFS('Слоты (для БД)'!$C$2:$C$181,$A4,'Слоты (для БД)'!$E$2:$E$181,7,'Слоты (для БД)'!$G$2:$G$181,"08–14")</f>
        <v>1</v>
      </c>
      <c r="P4" s="43" t="n">
        <f aca="false">COUNTIFS('Слоты (для БД)'!$C$2:$C$181,$A4,'Слоты (для БД)'!$E$2:$E$181,7,'Слоты (для БД)'!$G$2:$G$181,"14–20")</f>
        <v>0</v>
      </c>
    </row>
    <row r="5" customFormat="false" ht="15" hidden="false" customHeight="false" outlineLevel="0" collapsed="false">
      <c r="A5" s="6" t="s">
        <v>92</v>
      </c>
      <c r="B5" s="7" t="n">
        <v>1</v>
      </c>
      <c r="C5" s="43" t="n">
        <f aca="false">COUNTIFS('Слоты (для БД)'!$C$2:$C$181,$A5,'Слоты (для БД)'!$E$2:$E$181,1,'Слоты (для БД)'!$G$2:$G$181,"08–14")</f>
        <v>0</v>
      </c>
      <c r="D5" s="43" t="n">
        <f aca="false">COUNTIFS('Слоты (для БД)'!$C$2:$C$181,$A5,'Слоты (для БД)'!$E$2:$E$181,1,'Слоты (для БД)'!$G$2:$G$181,"14–20")</f>
        <v>1</v>
      </c>
      <c r="E5" s="43" t="n">
        <f aca="false">COUNTIFS('Слоты (для БД)'!$C$2:$C$181,$A5,'Слоты (для БД)'!$E$2:$E$181,2,'Слоты (для БД)'!$G$2:$G$181,"08–14")</f>
        <v>1</v>
      </c>
      <c r="F5" s="43" t="n">
        <f aca="false">COUNTIFS('Слоты (для БД)'!$C$2:$C$181,$A5,'Слоты (для БД)'!$E$2:$E$181,2,'Слоты (для БД)'!$G$2:$G$181,"14–20")</f>
        <v>0</v>
      </c>
      <c r="G5" s="43" t="n">
        <f aca="false">COUNTIFS('Слоты (для БД)'!$C$2:$C$181,$A5,'Слоты (для БД)'!$E$2:$E$181,3,'Слоты (для БД)'!$G$2:$G$181,"08–14")</f>
        <v>0</v>
      </c>
      <c r="H5" s="43" t="n">
        <f aca="false">COUNTIFS('Слоты (для БД)'!$C$2:$C$181,$A5,'Слоты (для БД)'!$E$2:$E$181,3,'Слоты (для БД)'!$G$2:$G$181,"14–20")</f>
        <v>1</v>
      </c>
      <c r="I5" s="43" t="n">
        <f aca="false">COUNTIFS('Слоты (для БД)'!$C$2:$C$181,$A5,'Слоты (для БД)'!$E$2:$E$181,4,'Слоты (для БД)'!$G$2:$G$181,"08–14")</f>
        <v>1</v>
      </c>
      <c r="J5" s="43" t="n">
        <f aca="false">COUNTIFS('Слоты (для БД)'!$C$2:$C$181,$A5,'Слоты (для БД)'!$E$2:$E$181,4,'Слоты (для БД)'!$G$2:$G$181,"14–20")</f>
        <v>0</v>
      </c>
      <c r="K5" s="43" t="n">
        <f aca="false">COUNTIFS('Слоты (для БД)'!$C$2:$C$181,$A5,'Слоты (для БД)'!$E$2:$E$181,5,'Слоты (для БД)'!$G$2:$G$181,"08–14")</f>
        <v>0</v>
      </c>
      <c r="L5" s="43" t="n">
        <f aca="false">COUNTIFS('Слоты (для БД)'!$C$2:$C$181,$A5,'Слоты (для БД)'!$E$2:$E$181,5,'Слоты (для БД)'!$G$2:$G$181,"14–20")</f>
        <v>1</v>
      </c>
      <c r="M5" s="43" t="n">
        <f aca="false">COUNTIFS('Слоты (для БД)'!$C$2:$C$181,$A5,'Слоты (для БД)'!$E$2:$E$181,6,'Слоты (для БД)'!$G$2:$G$181,"08–14")</f>
        <v>0</v>
      </c>
      <c r="N5" s="43" t="n">
        <f aca="false">COUNTIFS('Слоты (для БД)'!$C$2:$C$181,$A5,'Слоты (для БД)'!$E$2:$E$181,6,'Слоты (для БД)'!$G$2:$G$181,"14–20")</f>
        <v>1</v>
      </c>
      <c r="O5" s="43" t="n">
        <f aca="false">COUNTIFS('Слоты (для БД)'!$C$2:$C$181,$A5,'Слоты (для БД)'!$E$2:$E$181,7,'Слоты (для БД)'!$G$2:$G$181,"08–14")</f>
        <v>0</v>
      </c>
      <c r="P5" s="43" t="n">
        <f aca="false">COUNTIFS('Слоты (для БД)'!$C$2:$C$181,$A5,'Слоты (для БД)'!$E$2:$E$181,7,'Слоты (для БД)'!$G$2:$G$181,"14–20")</f>
        <v>0</v>
      </c>
    </row>
    <row r="6" customFormat="false" ht="15" hidden="false" customHeight="false" outlineLevel="0" collapsed="false">
      <c r="A6" s="6" t="s">
        <v>94</v>
      </c>
      <c r="B6" s="7" t="n">
        <v>1</v>
      </c>
      <c r="C6" s="43" t="n">
        <f aca="false">COUNTIFS('Слоты (для БД)'!$C$2:$C$181,$A6,'Слоты (для БД)'!$E$2:$E$181,1,'Слоты (для БД)'!$G$2:$G$181,"08–14")</f>
        <v>1</v>
      </c>
      <c r="D6" s="43" t="n">
        <f aca="false">COUNTIFS('Слоты (для БД)'!$C$2:$C$181,$A6,'Слоты (для БД)'!$E$2:$E$181,1,'Слоты (для БД)'!$G$2:$G$181,"14–20")</f>
        <v>0</v>
      </c>
      <c r="E6" s="43" t="n">
        <f aca="false">COUNTIFS('Слоты (для БД)'!$C$2:$C$181,$A6,'Слоты (для БД)'!$E$2:$E$181,2,'Слоты (для БД)'!$G$2:$G$181,"08–14")</f>
        <v>0</v>
      </c>
      <c r="F6" s="43" t="n">
        <f aca="false">COUNTIFS('Слоты (для БД)'!$C$2:$C$181,$A6,'Слоты (для БД)'!$E$2:$E$181,2,'Слоты (для БД)'!$G$2:$G$181,"14–20")</f>
        <v>1</v>
      </c>
      <c r="G6" s="43" t="n">
        <f aca="false">COUNTIFS('Слоты (для БД)'!$C$2:$C$181,$A6,'Слоты (для БД)'!$E$2:$E$181,3,'Слоты (для БД)'!$G$2:$G$181,"08–14")</f>
        <v>1</v>
      </c>
      <c r="H6" s="43" t="n">
        <f aca="false">COUNTIFS('Слоты (для БД)'!$C$2:$C$181,$A6,'Слоты (для БД)'!$E$2:$E$181,3,'Слоты (для БД)'!$G$2:$G$181,"14–20")</f>
        <v>0</v>
      </c>
      <c r="I6" s="43" t="n">
        <f aca="false">COUNTIFS('Слоты (для БД)'!$C$2:$C$181,$A6,'Слоты (для БД)'!$E$2:$E$181,4,'Слоты (для БД)'!$G$2:$G$181,"08–14")</f>
        <v>0</v>
      </c>
      <c r="J6" s="43" t="n">
        <f aca="false">COUNTIFS('Слоты (для БД)'!$C$2:$C$181,$A6,'Слоты (для БД)'!$E$2:$E$181,4,'Слоты (для БД)'!$G$2:$G$181,"14–20")</f>
        <v>1</v>
      </c>
      <c r="K6" s="43" t="n">
        <f aca="false">COUNTIFS('Слоты (для БД)'!$C$2:$C$181,$A6,'Слоты (для БД)'!$E$2:$E$181,5,'Слоты (для БД)'!$G$2:$G$181,"08–14")</f>
        <v>1</v>
      </c>
      <c r="L6" s="43" t="n">
        <f aca="false">COUNTIFS('Слоты (для БД)'!$C$2:$C$181,$A6,'Слоты (для БД)'!$E$2:$E$181,5,'Слоты (для БД)'!$G$2:$G$181,"14–20")</f>
        <v>0</v>
      </c>
      <c r="M6" s="43" t="n">
        <f aca="false">COUNTIFS('Слоты (для БД)'!$C$2:$C$181,$A6,'Слоты (для БД)'!$E$2:$E$181,6,'Слоты (для БД)'!$G$2:$G$181,"08–14")</f>
        <v>1</v>
      </c>
      <c r="N6" s="43" t="n">
        <f aca="false">COUNTIFS('Слоты (для БД)'!$C$2:$C$181,$A6,'Слоты (для БД)'!$E$2:$E$181,6,'Слоты (для БД)'!$G$2:$G$181,"14–20")</f>
        <v>0</v>
      </c>
      <c r="O6" s="43" t="n">
        <f aca="false">COUNTIFS('Слоты (для БД)'!$C$2:$C$181,$A6,'Слоты (для БД)'!$E$2:$E$181,7,'Слоты (для БД)'!$G$2:$G$181,"08–14")</f>
        <v>0</v>
      </c>
      <c r="P6" s="43" t="n">
        <f aca="false">COUNTIFS('Слоты (для БД)'!$C$2:$C$181,$A6,'Слоты (для БД)'!$E$2:$E$181,7,'Слоты (для БД)'!$G$2:$G$181,"14–20")</f>
        <v>0</v>
      </c>
    </row>
    <row r="7" customFormat="false" ht="15" hidden="false" customHeight="false" outlineLevel="0" collapsed="false">
      <c r="A7" s="6" t="s">
        <v>96</v>
      </c>
      <c r="B7" s="7" t="n">
        <v>1</v>
      </c>
      <c r="C7" s="43" t="n">
        <f aca="false">COUNTIFS('Слоты (для БД)'!$C$2:$C$181,$A7,'Слоты (для БД)'!$E$2:$E$181,1,'Слоты (для БД)'!$G$2:$G$181,"08–14")</f>
        <v>1</v>
      </c>
      <c r="D7" s="43" t="n">
        <f aca="false">COUNTIFS('Слоты (для БД)'!$C$2:$C$181,$A7,'Слоты (для БД)'!$E$2:$E$181,1,'Слоты (для БД)'!$G$2:$G$181,"14–20")</f>
        <v>0</v>
      </c>
      <c r="E7" s="43" t="n">
        <f aca="false">COUNTIFS('Слоты (для БД)'!$C$2:$C$181,$A7,'Слоты (для БД)'!$E$2:$E$181,2,'Слоты (для БД)'!$G$2:$G$181,"08–14")</f>
        <v>0</v>
      </c>
      <c r="F7" s="43" t="n">
        <f aca="false">COUNTIFS('Слоты (для БД)'!$C$2:$C$181,$A7,'Слоты (для БД)'!$E$2:$E$181,2,'Слоты (для БД)'!$G$2:$G$181,"14–20")</f>
        <v>1</v>
      </c>
      <c r="G7" s="43" t="n">
        <f aca="false">COUNTIFS('Слоты (для БД)'!$C$2:$C$181,$A7,'Слоты (для БД)'!$E$2:$E$181,3,'Слоты (для БД)'!$G$2:$G$181,"08–14")</f>
        <v>1</v>
      </c>
      <c r="H7" s="43" t="n">
        <f aca="false">COUNTIFS('Слоты (для БД)'!$C$2:$C$181,$A7,'Слоты (для БД)'!$E$2:$E$181,3,'Слоты (для БД)'!$G$2:$G$181,"14–20")</f>
        <v>0</v>
      </c>
      <c r="I7" s="43" t="n">
        <f aca="false">COUNTIFS('Слоты (для БД)'!$C$2:$C$181,$A7,'Слоты (для БД)'!$E$2:$E$181,4,'Слоты (для БД)'!$G$2:$G$181,"08–14")</f>
        <v>0</v>
      </c>
      <c r="J7" s="43" t="n">
        <f aca="false">COUNTIFS('Слоты (для БД)'!$C$2:$C$181,$A7,'Слоты (для БД)'!$E$2:$E$181,4,'Слоты (для БД)'!$G$2:$G$181,"14–20")</f>
        <v>1</v>
      </c>
      <c r="K7" s="43" t="n">
        <f aca="false">COUNTIFS('Слоты (для БД)'!$C$2:$C$181,$A7,'Слоты (для БД)'!$E$2:$E$181,5,'Слоты (для БД)'!$G$2:$G$181,"08–14")</f>
        <v>1</v>
      </c>
      <c r="L7" s="43" t="n">
        <f aca="false">COUNTIFS('Слоты (для БД)'!$C$2:$C$181,$A7,'Слоты (для БД)'!$E$2:$E$181,5,'Слоты (для БД)'!$G$2:$G$181,"14–20")</f>
        <v>0</v>
      </c>
      <c r="M7" s="43" t="n">
        <f aca="false">COUNTIFS('Слоты (для БД)'!$C$2:$C$181,$A7,'Слоты (для БД)'!$E$2:$E$181,6,'Слоты (для БД)'!$G$2:$G$181,"08–14")</f>
        <v>1</v>
      </c>
      <c r="N7" s="43" t="n">
        <f aca="false">COUNTIFS('Слоты (для БД)'!$C$2:$C$181,$A7,'Слоты (для БД)'!$E$2:$E$181,6,'Слоты (для БД)'!$G$2:$G$181,"14–20")</f>
        <v>0</v>
      </c>
      <c r="O7" s="43" t="n">
        <f aca="false">COUNTIFS('Слоты (для БД)'!$C$2:$C$181,$A7,'Слоты (для БД)'!$E$2:$E$181,7,'Слоты (для БД)'!$G$2:$G$181,"08–14")</f>
        <v>0</v>
      </c>
      <c r="P7" s="43" t="n">
        <f aca="false">COUNTIFS('Слоты (для БД)'!$C$2:$C$181,$A7,'Слоты (для БД)'!$E$2:$E$181,7,'Слоты (для БД)'!$G$2:$G$181,"14–20")</f>
        <v>0</v>
      </c>
    </row>
    <row r="8" customFormat="false" ht="15" hidden="false" customHeight="false" outlineLevel="0" collapsed="false">
      <c r="A8" s="6" t="s">
        <v>98</v>
      </c>
      <c r="B8" s="7" t="n">
        <v>2</v>
      </c>
      <c r="C8" s="43" t="n">
        <f aca="false">COUNTIFS('Слоты (для БД)'!$C$2:$C$181,$A8,'Слоты (для БД)'!$E$2:$E$181,1,'Слоты (для БД)'!$G$2:$G$181,"08–14")</f>
        <v>1</v>
      </c>
      <c r="D8" s="43" t="n">
        <f aca="false">COUNTIFS('Слоты (для БД)'!$C$2:$C$181,$A8,'Слоты (для БД)'!$E$2:$E$181,1,'Слоты (для БД)'!$G$2:$G$181,"14–20")</f>
        <v>1</v>
      </c>
      <c r="E8" s="43" t="n">
        <f aca="false">COUNTIFS('Слоты (для БД)'!$C$2:$C$181,$A8,'Слоты (для БД)'!$E$2:$E$181,2,'Слоты (для БД)'!$G$2:$G$181,"08–14")</f>
        <v>1</v>
      </c>
      <c r="F8" s="43" t="n">
        <f aca="false">COUNTIFS('Слоты (для БД)'!$C$2:$C$181,$A8,'Слоты (для БД)'!$E$2:$E$181,2,'Слоты (для БД)'!$G$2:$G$181,"14–20")</f>
        <v>1</v>
      </c>
      <c r="G8" s="43" t="n">
        <f aca="false">COUNTIFS('Слоты (для БД)'!$C$2:$C$181,$A8,'Слоты (для БД)'!$E$2:$E$181,3,'Слоты (для БД)'!$G$2:$G$181,"08–14")</f>
        <v>1</v>
      </c>
      <c r="H8" s="43" t="n">
        <f aca="false">COUNTIFS('Слоты (для БД)'!$C$2:$C$181,$A8,'Слоты (для БД)'!$E$2:$E$181,3,'Слоты (для БД)'!$G$2:$G$181,"14–20")</f>
        <v>1</v>
      </c>
      <c r="I8" s="43" t="n">
        <f aca="false">COUNTIFS('Слоты (для БД)'!$C$2:$C$181,$A8,'Слоты (для БД)'!$E$2:$E$181,4,'Слоты (для БД)'!$G$2:$G$181,"08–14")</f>
        <v>1</v>
      </c>
      <c r="J8" s="43" t="n">
        <f aca="false">COUNTIFS('Слоты (для БД)'!$C$2:$C$181,$A8,'Слоты (для БД)'!$E$2:$E$181,4,'Слоты (для БД)'!$G$2:$G$181,"14–20")</f>
        <v>1</v>
      </c>
      <c r="K8" s="43" t="n">
        <f aca="false">COUNTIFS('Слоты (для БД)'!$C$2:$C$181,$A8,'Слоты (для БД)'!$E$2:$E$181,5,'Слоты (для БД)'!$G$2:$G$181,"08–14")</f>
        <v>1</v>
      </c>
      <c r="L8" s="43" t="n">
        <f aca="false">COUNTIFS('Слоты (для БД)'!$C$2:$C$181,$A8,'Слоты (для БД)'!$E$2:$E$181,5,'Слоты (для БД)'!$G$2:$G$181,"14–20")</f>
        <v>1</v>
      </c>
      <c r="M8" s="43" t="n">
        <f aca="false">COUNTIFS('Слоты (для БД)'!$C$2:$C$181,$A8,'Слоты (для БД)'!$E$2:$E$181,6,'Слоты (для БД)'!$G$2:$G$181,"08–14")</f>
        <v>1</v>
      </c>
      <c r="N8" s="43" t="n">
        <f aca="false">COUNTIFS('Слоты (для БД)'!$C$2:$C$181,$A8,'Слоты (для БД)'!$E$2:$E$181,6,'Слоты (для БД)'!$G$2:$G$181,"14–20")</f>
        <v>0</v>
      </c>
      <c r="O8" s="43" t="n">
        <f aca="false">COUNTIFS('Слоты (для БД)'!$C$2:$C$181,$A8,'Слоты (для БД)'!$E$2:$E$181,7,'Слоты (для БД)'!$G$2:$G$181,"08–14")</f>
        <v>1</v>
      </c>
      <c r="P8" s="43" t="n">
        <f aca="false">COUNTIFS('Слоты (для БД)'!$C$2:$C$181,$A8,'Слоты (для БД)'!$E$2:$E$181,7,'Слоты (для БД)'!$G$2:$G$181,"14–20")</f>
        <v>0</v>
      </c>
    </row>
    <row r="9" customFormat="false" ht="15" hidden="false" customHeight="false" outlineLevel="0" collapsed="false">
      <c r="A9" s="6" t="s">
        <v>101</v>
      </c>
      <c r="B9" s="7" t="n">
        <v>1</v>
      </c>
      <c r="C9" s="43" t="n">
        <f aca="false">COUNTIFS('Слоты (для БД)'!$C$2:$C$181,$A9,'Слоты (для БД)'!$E$2:$E$181,1,'Слоты (для БД)'!$G$2:$G$181,"08–14")</f>
        <v>0</v>
      </c>
      <c r="D9" s="43" t="n">
        <f aca="false">COUNTIFS('Слоты (для БД)'!$C$2:$C$181,$A9,'Слоты (для БД)'!$E$2:$E$181,1,'Слоты (для БД)'!$G$2:$G$181,"14–20")</f>
        <v>1</v>
      </c>
      <c r="E9" s="43" t="n">
        <f aca="false">COUNTIFS('Слоты (для БД)'!$C$2:$C$181,$A9,'Слоты (для БД)'!$E$2:$E$181,2,'Слоты (для БД)'!$G$2:$G$181,"08–14")</f>
        <v>1</v>
      </c>
      <c r="F9" s="43" t="n">
        <f aca="false">COUNTIFS('Слоты (для БД)'!$C$2:$C$181,$A9,'Слоты (для БД)'!$E$2:$E$181,2,'Слоты (для БД)'!$G$2:$G$181,"14–20")</f>
        <v>0</v>
      </c>
      <c r="G9" s="43" t="n">
        <f aca="false">COUNTIFS('Слоты (для БД)'!$C$2:$C$181,$A9,'Слоты (для БД)'!$E$2:$E$181,3,'Слоты (для БД)'!$G$2:$G$181,"08–14")</f>
        <v>0</v>
      </c>
      <c r="H9" s="43" t="n">
        <f aca="false">COUNTIFS('Слоты (для БД)'!$C$2:$C$181,$A9,'Слоты (для БД)'!$E$2:$E$181,3,'Слоты (для БД)'!$G$2:$G$181,"14–20")</f>
        <v>1</v>
      </c>
      <c r="I9" s="43" t="n">
        <f aca="false">COUNTIFS('Слоты (для БД)'!$C$2:$C$181,$A9,'Слоты (для БД)'!$E$2:$E$181,4,'Слоты (для БД)'!$G$2:$G$181,"08–14")</f>
        <v>1</v>
      </c>
      <c r="J9" s="43" t="n">
        <f aca="false">COUNTIFS('Слоты (для БД)'!$C$2:$C$181,$A9,'Слоты (для БД)'!$E$2:$E$181,4,'Слоты (для БД)'!$G$2:$G$181,"14–20")</f>
        <v>0</v>
      </c>
      <c r="K9" s="43" t="n">
        <f aca="false">COUNTIFS('Слоты (для БД)'!$C$2:$C$181,$A9,'Слоты (для БД)'!$E$2:$E$181,5,'Слоты (для БД)'!$G$2:$G$181,"08–14")</f>
        <v>0</v>
      </c>
      <c r="L9" s="43" t="n">
        <f aca="false">COUNTIFS('Слоты (для БД)'!$C$2:$C$181,$A9,'Слоты (для БД)'!$E$2:$E$181,5,'Слоты (для БД)'!$G$2:$G$181,"14–20")</f>
        <v>1</v>
      </c>
      <c r="M9" s="43" t="n">
        <f aca="false">COUNTIFS('Слоты (для БД)'!$C$2:$C$181,$A9,'Слоты (для БД)'!$E$2:$E$181,6,'Слоты (для БД)'!$G$2:$G$181,"08–14")</f>
        <v>0</v>
      </c>
      <c r="N9" s="43" t="n">
        <f aca="false">COUNTIFS('Слоты (для БД)'!$C$2:$C$181,$A9,'Слоты (для БД)'!$E$2:$E$181,6,'Слоты (для БД)'!$G$2:$G$181,"14–20")</f>
        <v>1</v>
      </c>
      <c r="O9" s="43" t="n">
        <f aca="false">COUNTIFS('Слоты (для БД)'!$C$2:$C$181,$A9,'Слоты (для БД)'!$E$2:$E$181,7,'Слоты (для БД)'!$G$2:$G$181,"08–14")</f>
        <v>0</v>
      </c>
      <c r="P9" s="43" t="n">
        <f aca="false">COUNTIFS('Слоты (для БД)'!$C$2:$C$181,$A9,'Слоты (для БД)'!$E$2:$E$181,7,'Слоты (для БД)'!$G$2:$G$181,"14–20")</f>
        <v>0</v>
      </c>
    </row>
    <row r="10" customFormat="false" ht="15" hidden="false" customHeight="false" outlineLevel="0" collapsed="false">
      <c r="A10" s="6" t="s">
        <v>103</v>
      </c>
      <c r="B10" s="7" t="n">
        <v>1</v>
      </c>
      <c r="C10" s="43" t="n">
        <f aca="false">COUNTIFS('Слоты (для БД)'!$C$2:$C$181,$A10,'Слоты (для БД)'!$E$2:$E$181,1,'Слоты (для БД)'!$G$2:$G$181,"08–14")</f>
        <v>1</v>
      </c>
      <c r="D10" s="43" t="n">
        <f aca="false">COUNTIFS('Слоты (для БД)'!$C$2:$C$181,$A10,'Слоты (для БД)'!$E$2:$E$181,1,'Слоты (для БД)'!$G$2:$G$181,"14–20")</f>
        <v>0</v>
      </c>
      <c r="E10" s="43" t="n">
        <f aca="false">COUNTIFS('Слоты (для БД)'!$C$2:$C$181,$A10,'Слоты (для БД)'!$E$2:$E$181,2,'Слоты (для БД)'!$G$2:$G$181,"08–14")</f>
        <v>0</v>
      </c>
      <c r="F10" s="43" t="n">
        <f aca="false">COUNTIFS('Слоты (для БД)'!$C$2:$C$181,$A10,'Слоты (для БД)'!$E$2:$E$181,2,'Слоты (для БД)'!$G$2:$G$181,"14–20")</f>
        <v>1</v>
      </c>
      <c r="G10" s="43" t="n">
        <f aca="false">COUNTIFS('Слоты (для БД)'!$C$2:$C$181,$A10,'Слоты (для БД)'!$E$2:$E$181,3,'Слоты (для БД)'!$G$2:$G$181,"08–14")</f>
        <v>1</v>
      </c>
      <c r="H10" s="43" t="n">
        <f aca="false">COUNTIFS('Слоты (для БД)'!$C$2:$C$181,$A10,'Слоты (для БД)'!$E$2:$E$181,3,'Слоты (для БД)'!$G$2:$G$181,"14–20")</f>
        <v>0</v>
      </c>
      <c r="I10" s="43" t="n">
        <f aca="false">COUNTIFS('Слоты (для БД)'!$C$2:$C$181,$A10,'Слоты (для БД)'!$E$2:$E$181,4,'Слоты (для БД)'!$G$2:$G$181,"08–14")</f>
        <v>0</v>
      </c>
      <c r="J10" s="43" t="n">
        <f aca="false">COUNTIFS('Слоты (для БД)'!$C$2:$C$181,$A10,'Слоты (для БД)'!$E$2:$E$181,4,'Слоты (для БД)'!$G$2:$G$181,"14–20")</f>
        <v>1</v>
      </c>
      <c r="K10" s="43" t="n">
        <f aca="false">COUNTIFS('Слоты (для БД)'!$C$2:$C$181,$A10,'Слоты (для БД)'!$E$2:$E$181,5,'Слоты (для БД)'!$G$2:$G$181,"08–14")</f>
        <v>1</v>
      </c>
      <c r="L10" s="43" t="n">
        <f aca="false">COUNTIFS('Слоты (для БД)'!$C$2:$C$181,$A10,'Слоты (для БД)'!$E$2:$E$181,5,'Слоты (для БД)'!$G$2:$G$181,"14–20")</f>
        <v>0</v>
      </c>
      <c r="M10" s="43" t="n">
        <f aca="false">COUNTIFS('Слоты (для БД)'!$C$2:$C$181,$A10,'Слоты (для БД)'!$E$2:$E$181,6,'Слоты (для БД)'!$G$2:$G$181,"08–14")</f>
        <v>1</v>
      </c>
      <c r="N10" s="43" t="n">
        <f aca="false">COUNTIFS('Слоты (для БД)'!$C$2:$C$181,$A10,'Слоты (для БД)'!$E$2:$E$181,6,'Слоты (для БД)'!$G$2:$G$181,"14–20")</f>
        <v>0</v>
      </c>
      <c r="O10" s="43" t="n">
        <f aca="false">COUNTIFS('Слоты (для БД)'!$C$2:$C$181,$A10,'Слоты (для БД)'!$E$2:$E$181,7,'Слоты (для БД)'!$G$2:$G$181,"08–14")</f>
        <v>0</v>
      </c>
      <c r="P10" s="43" t="n">
        <f aca="false">COUNTIFS('Слоты (для БД)'!$C$2:$C$181,$A10,'Слоты (для БД)'!$E$2:$E$181,7,'Слоты (для БД)'!$G$2:$G$181,"14–20")</f>
        <v>0</v>
      </c>
    </row>
    <row r="11" customFormat="false" ht="15" hidden="false" customHeight="false" outlineLevel="0" collapsed="false">
      <c r="A11" s="6" t="s">
        <v>105</v>
      </c>
      <c r="B11" s="7" t="n">
        <v>1</v>
      </c>
      <c r="C11" s="43" t="n">
        <f aca="false">COUNTIFS('Слоты (для БД)'!$C$2:$C$181,$A11,'Слоты (для БД)'!$E$2:$E$181,1,'Слоты (для БД)'!$G$2:$G$181,"08–14")</f>
        <v>0</v>
      </c>
      <c r="D11" s="43" t="n">
        <f aca="false">COUNTIFS('Слоты (для БД)'!$C$2:$C$181,$A11,'Слоты (для БД)'!$E$2:$E$181,1,'Слоты (для БД)'!$G$2:$G$181,"14–20")</f>
        <v>1</v>
      </c>
      <c r="E11" s="43" t="n">
        <f aca="false">COUNTIFS('Слоты (для БД)'!$C$2:$C$181,$A11,'Слоты (для БД)'!$E$2:$E$181,2,'Слоты (для БД)'!$G$2:$G$181,"08–14")</f>
        <v>1</v>
      </c>
      <c r="F11" s="43" t="n">
        <f aca="false">COUNTIFS('Слоты (для БД)'!$C$2:$C$181,$A11,'Слоты (для БД)'!$E$2:$E$181,2,'Слоты (для БД)'!$G$2:$G$181,"14–20")</f>
        <v>0</v>
      </c>
      <c r="G11" s="43" t="n">
        <f aca="false">COUNTIFS('Слоты (для БД)'!$C$2:$C$181,$A11,'Слоты (для БД)'!$E$2:$E$181,3,'Слоты (для БД)'!$G$2:$G$181,"08–14")</f>
        <v>0</v>
      </c>
      <c r="H11" s="43" t="n">
        <f aca="false">COUNTIFS('Слоты (для БД)'!$C$2:$C$181,$A11,'Слоты (для БД)'!$E$2:$E$181,3,'Слоты (для БД)'!$G$2:$G$181,"14–20")</f>
        <v>1</v>
      </c>
      <c r="I11" s="43" t="n">
        <f aca="false">COUNTIFS('Слоты (для БД)'!$C$2:$C$181,$A11,'Слоты (для БД)'!$E$2:$E$181,4,'Слоты (для БД)'!$G$2:$G$181,"08–14")</f>
        <v>1</v>
      </c>
      <c r="J11" s="43" t="n">
        <f aca="false">COUNTIFS('Слоты (для БД)'!$C$2:$C$181,$A11,'Слоты (для БД)'!$E$2:$E$181,4,'Слоты (для БД)'!$G$2:$G$181,"14–20")</f>
        <v>0</v>
      </c>
      <c r="K11" s="43" t="n">
        <f aca="false">COUNTIFS('Слоты (для БД)'!$C$2:$C$181,$A11,'Слоты (для БД)'!$E$2:$E$181,5,'Слоты (для БД)'!$G$2:$G$181,"08–14")</f>
        <v>0</v>
      </c>
      <c r="L11" s="43" t="n">
        <f aca="false">COUNTIFS('Слоты (для БД)'!$C$2:$C$181,$A11,'Слоты (для БД)'!$E$2:$E$181,5,'Слоты (для БД)'!$G$2:$G$181,"14–20")</f>
        <v>1</v>
      </c>
      <c r="M11" s="43" t="n">
        <f aca="false">COUNTIFS('Слоты (для БД)'!$C$2:$C$181,$A11,'Слоты (для БД)'!$E$2:$E$181,6,'Слоты (для БД)'!$G$2:$G$181,"08–14")</f>
        <v>0</v>
      </c>
      <c r="N11" s="43" t="n">
        <f aca="false">COUNTIFS('Слоты (для БД)'!$C$2:$C$181,$A11,'Слоты (для БД)'!$E$2:$E$181,6,'Слоты (для БД)'!$G$2:$G$181,"14–20")</f>
        <v>1</v>
      </c>
      <c r="O11" s="43" t="n">
        <f aca="false">COUNTIFS('Слоты (для БД)'!$C$2:$C$181,$A11,'Слоты (для БД)'!$E$2:$E$181,7,'Слоты (для БД)'!$G$2:$G$181,"08–14")</f>
        <v>0</v>
      </c>
      <c r="P11" s="43" t="n">
        <f aca="false">COUNTIFS('Слоты (для БД)'!$C$2:$C$181,$A11,'Слоты (для БД)'!$E$2:$E$181,7,'Слоты (для БД)'!$G$2:$G$181,"14–20")</f>
        <v>0</v>
      </c>
    </row>
    <row r="12" customFormat="false" ht="15" hidden="false" customHeight="false" outlineLevel="0" collapsed="false">
      <c r="A12" s="6" t="s">
        <v>107</v>
      </c>
      <c r="B12" s="7" t="n">
        <v>2</v>
      </c>
      <c r="C12" s="43" t="n">
        <f aca="false">COUNTIFS('Слоты (для БД)'!$C$2:$C$181,$A12,'Слоты (для БД)'!$E$2:$E$181,1,'Слоты (для БД)'!$G$2:$G$181,"08–14")</f>
        <v>1</v>
      </c>
      <c r="D12" s="43" t="n">
        <f aca="false">COUNTIFS('Слоты (для БД)'!$C$2:$C$181,$A12,'Слоты (для БД)'!$E$2:$E$181,1,'Слоты (для БД)'!$G$2:$G$181,"14–20")</f>
        <v>1</v>
      </c>
      <c r="E12" s="43" t="n">
        <f aca="false">COUNTIFS('Слоты (для БД)'!$C$2:$C$181,$A12,'Слоты (для БД)'!$E$2:$E$181,2,'Слоты (для БД)'!$G$2:$G$181,"08–14")</f>
        <v>1</v>
      </c>
      <c r="F12" s="43" t="n">
        <f aca="false">COUNTIFS('Слоты (для БД)'!$C$2:$C$181,$A12,'Слоты (для БД)'!$E$2:$E$181,2,'Слоты (для БД)'!$G$2:$G$181,"14–20")</f>
        <v>1</v>
      </c>
      <c r="G12" s="43" t="n">
        <f aca="false">COUNTIFS('Слоты (для БД)'!$C$2:$C$181,$A12,'Слоты (для БД)'!$E$2:$E$181,3,'Слоты (для БД)'!$G$2:$G$181,"08–14")</f>
        <v>1</v>
      </c>
      <c r="H12" s="43" t="n">
        <f aca="false">COUNTIFS('Слоты (для БД)'!$C$2:$C$181,$A12,'Слоты (для БД)'!$E$2:$E$181,3,'Слоты (для БД)'!$G$2:$G$181,"14–20")</f>
        <v>1</v>
      </c>
      <c r="I12" s="43" t="n">
        <f aca="false">COUNTIFS('Слоты (для БД)'!$C$2:$C$181,$A12,'Слоты (для БД)'!$E$2:$E$181,4,'Слоты (для БД)'!$G$2:$G$181,"08–14")</f>
        <v>1</v>
      </c>
      <c r="J12" s="43" t="n">
        <f aca="false">COUNTIFS('Слоты (для БД)'!$C$2:$C$181,$A12,'Слоты (для БД)'!$E$2:$E$181,4,'Слоты (для БД)'!$G$2:$G$181,"14–20")</f>
        <v>1</v>
      </c>
      <c r="K12" s="43" t="n">
        <f aca="false">COUNTIFS('Слоты (для БД)'!$C$2:$C$181,$A12,'Слоты (для БД)'!$E$2:$E$181,5,'Слоты (для БД)'!$G$2:$G$181,"08–14")</f>
        <v>1</v>
      </c>
      <c r="L12" s="43" t="n">
        <f aca="false">COUNTIFS('Слоты (для БД)'!$C$2:$C$181,$A12,'Слоты (для БД)'!$E$2:$E$181,5,'Слоты (для БД)'!$G$2:$G$181,"14–20")</f>
        <v>1</v>
      </c>
      <c r="M12" s="43" t="n">
        <f aca="false">COUNTIFS('Слоты (для БД)'!$C$2:$C$181,$A12,'Слоты (для БД)'!$E$2:$E$181,6,'Слоты (для БД)'!$G$2:$G$181,"08–14")</f>
        <v>1</v>
      </c>
      <c r="N12" s="43" t="n">
        <f aca="false">COUNTIFS('Слоты (для БД)'!$C$2:$C$181,$A12,'Слоты (для БД)'!$E$2:$E$181,6,'Слоты (для БД)'!$G$2:$G$181,"14–20")</f>
        <v>1</v>
      </c>
      <c r="O12" s="43" t="n">
        <f aca="false">COUNTIFS('Слоты (для БД)'!$C$2:$C$181,$A12,'Слоты (для БД)'!$E$2:$E$181,7,'Слоты (для БД)'!$G$2:$G$181,"08–14")</f>
        <v>0</v>
      </c>
      <c r="P12" s="43" t="n">
        <f aca="false">COUNTIFS('Слоты (для БД)'!$C$2:$C$181,$A12,'Слоты (для БД)'!$E$2:$E$181,7,'Слоты (для БД)'!$G$2:$G$181,"14–20")</f>
        <v>0</v>
      </c>
    </row>
    <row r="13" customFormat="false" ht="15" hidden="false" customHeight="false" outlineLevel="0" collapsed="false">
      <c r="A13" s="6" t="s">
        <v>110</v>
      </c>
      <c r="B13" s="7" t="n">
        <v>1</v>
      </c>
      <c r="C13" s="43" t="n">
        <f aca="false">COUNTIFS('Слоты (для БД)'!$C$2:$C$181,$A13,'Слоты (для БД)'!$E$2:$E$181,1,'Слоты (для БД)'!$G$2:$G$181,"08–14")</f>
        <v>1</v>
      </c>
      <c r="D13" s="43" t="n">
        <f aca="false">COUNTIFS('Слоты (для БД)'!$C$2:$C$181,$A13,'Слоты (для БД)'!$E$2:$E$181,1,'Слоты (для БД)'!$G$2:$G$181,"14–20")</f>
        <v>0</v>
      </c>
      <c r="E13" s="43" t="n">
        <f aca="false">COUNTIFS('Слоты (для БД)'!$C$2:$C$181,$A13,'Слоты (для БД)'!$E$2:$E$181,2,'Слоты (для БД)'!$G$2:$G$181,"08–14")</f>
        <v>0</v>
      </c>
      <c r="F13" s="43" t="n">
        <f aca="false">COUNTIFS('Слоты (для БД)'!$C$2:$C$181,$A13,'Слоты (для БД)'!$E$2:$E$181,2,'Слоты (для БД)'!$G$2:$G$181,"14–20")</f>
        <v>1</v>
      </c>
      <c r="G13" s="43" t="n">
        <f aca="false">COUNTIFS('Слоты (для БД)'!$C$2:$C$181,$A13,'Слоты (для БД)'!$E$2:$E$181,3,'Слоты (для БД)'!$G$2:$G$181,"08–14")</f>
        <v>1</v>
      </c>
      <c r="H13" s="43" t="n">
        <f aca="false">COUNTIFS('Слоты (для БД)'!$C$2:$C$181,$A13,'Слоты (для БД)'!$E$2:$E$181,3,'Слоты (для БД)'!$G$2:$G$181,"14–20")</f>
        <v>0</v>
      </c>
      <c r="I13" s="43" t="n">
        <f aca="false">COUNTIFS('Слоты (для БД)'!$C$2:$C$181,$A13,'Слоты (для БД)'!$E$2:$E$181,4,'Слоты (для БД)'!$G$2:$G$181,"08–14")</f>
        <v>0</v>
      </c>
      <c r="J13" s="43" t="n">
        <f aca="false">COUNTIFS('Слоты (для БД)'!$C$2:$C$181,$A13,'Слоты (для БД)'!$E$2:$E$181,4,'Слоты (для БД)'!$G$2:$G$181,"14–20")</f>
        <v>1</v>
      </c>
      <c r="K13" s="43" t="n">
        <f aca="false">COUNTIFS('Слоты (для БД)'!$C$2:$C$181,$A13,'Слоты (для БД)'!$E$2:$E$181,5,'Слоты (для БД)'!$G$2:$G$181,"08–14")</f>
        <v>1</v>
      </c>
      <c r="L13" s="43" t="n">
        <f aca="false">COUNTIFS('Слоты (для БД)'!$C$2:$C$181,$A13,'Слоты (для БД)'!$E$2:$E$181,5,'Слоты (для БД)'!$G$2:$G$181,"14–20")</f>
        <v>0</v>
      </c>
      <c r="M13" s="43" t="n">
        <f aca="false">COUNTIFS('Слоты (для БД)'!$C$2:$C$181,$A13,'Слоты (для БД)'!$E$2:$E$181,6,'Слоты (для БД)'!$G$2:$G$181,"08–14")</f>
        <v>1</v>
      </c>
      <c r="N13" s="43" t="n">
        <f aca="false">COUNTIFS('Слоты (для БД)'!$C$2:$C$181,$A13,'Слоты (для БД)'!$E$2:$E$181,6,'Слоты (для БД)'!$G$2:$G$181,"14–20")</f>
        <v>0</v>
      </c>
      <c r="O13" s="43" t="n">
        <f aca="false">COUNTIFS('Слоты (для БД)'!$C$2:$C$181,$A13,'Слоты (для БД)'!$E$2:$E$181,7,'Слоты (для БД)'!$G$2:$G$181,"08–14")</f>
        <v>0</v>
      </c>
      <c r="P13" s="43" t="n">
        <f aca="false">COUNTIFS('Слоты (для БД)'!$C$2:$C$181,$A13,'Слоты (для БД)'!$E$2:$E$181,7,'Слоты (для БД)'!$G$2:$G$181,"14–20")</f>
        <v>0</v>
      </c>
    </row>
    <row r="14" customFormat="false" ht="15" hidden="false" customHeight="false" outlineLevel="0" collapsed="false">
      <c r="A14" s="6" t="s">
        <v>112</v>
      </c>
      <c r="B14" s="7" t="n">
        <v>5</v>
      </c>
      <c r="C14" s="43" t="n">
        <f aca="false">COUNTIFS('Слоты (для БД)'!$C$2:$C$181,$A14,'Слоты (для БД)'!$E$2:$E$181,1,'Слоты (для БД)'!$G$2:$G$181,"08–14")</f>
        <v>2</v>
      </c>
      <c r="D14" s="43" t="n">
        <f aca="false">COUNTIFS('Слоты (для БД)'!$C$2:$C$181,$A14,'Слоты (для БД)'!$E$2:$E$181,1,'Слоты (для БД)'!$G$2:$G$181,"14–20")</f>
        <v>3</v>
      </c>
      <c r="E14" s="43" t="n">
        <f aca="false">COUNTIFS('Слоты (для БД)'!$C$2:$C$181,$A14,'Слоты (для БД)'!$E$2:$E$181,2,'Слоты (для БД)'!$G$2:$G$181,"08–14")</f>
        <v>3</v>
      </c>
      <c r="F14" s="43" t="n">
        <f aca="false">COUNTIFS('Слоты (для БД)'!$C$2:$C$181,$A14,'Слоты (для БД)'!$E$2:$E$181,2,'Слоты (для БД)'!$G$2:$G$181,"14–20")</f>
        <v>2</v>
      </c>
      <c r="G14" s="43" t="n">
        <f aca="false">COUNTIFS('Слоты (для БД)'!$C$2:$C$181,$A14,'Слоты (для БД)'!$E$2:$E$181,3,'Слоты (для БД)'!$G$2:$G$181,"08–14")</f>
        <v>2</v>
      </c>
      <c r="H14" s="43" t="n">
        <f aca="false">COUNTIFS('Слоты (для БД)'!$C$2:$C$181,$A14,'Слоты (для БД)'!$E$2:$E$181,3,'Слоты (для БД)'!$G$2:$G$181,"14–20")</f>
        <v>3</v>
      </c>
      <c r="I14" s="43" t="n">
        <f aca="false">COUNTIFS('Слоты (для БД)'!$C$2:$C$181,$A14,'Слоты (для БД)'!$E$2:$E$181,4,'Слоты (для БД)'!$G$2:$G$181,"08–14")</f>
        <v>3</v>
      </c>
      <c r="J14" s="43" t="n">
        <f aca="false">COUNTIFS('Слоты (для БД)'!$C$2:$C$181,$A14,'Слоты (для БД)'!$E$2:$E$181,4,'Слоты (для БД)'!$G$2:$G$181,"14–20")</f>
        <v>2</v>
      </c>
      <c r="K14" s="43" t="n">
        <f aca="false">COUNTIFS('Слоты (для БД)'!$C$2:$C$181,$A14,'Слоты (для БД)'!$E$2:$E$181,5,'Слоты (для БД)'!$G$2:$G$181,"08–14")</f>
        <v>2</v>
      </c>
      <c r="L14" s="43" t="n">
        <f aca="false">COUNTIFS('Слоты (для БД)'!$C$2:$C$181,$A14,'Слоты (для БД)'!$E$2:$E$181,5,'Слоты (для БД)'!$G$2:$G$181,"14–20")</f>
        <v>3</v>
      </c>
      <c r="M14" s="43" t="n">
        <f aca="false">COUNTIFS('Слоты (для БД)'!$C$2:$C$181,$A14,'Слоты (для БД)'!$E$2:$E$181,6,'Слоты (для БД)'!$G$2:$G$181,"08–14")</f>
        <v>2</v>
      </c>
      <c r="N14" s="43" t="n">
        <f aca="false">COUNTIFS('Слоты (для БД)'!$C$2:$C$181,$A14,'Слоты (для БД)'!$E$2:$E$181,6,'Слоты (для БД)'!$G$2:$G$181,"14–20")</f>
        <v>1</v>
      </c>
      <c r="O14" s="43" t="n">
        <f aca="false">COUNTIFS('Слоты (для БД)'!$C$2:$C$181,$A14,'Слоты (для БД)'!$E$2:$E$181,7,'Слоты (для БД)'!$G$2:$G$181,"08–14")</f>
        <v>1</v>
      </c>
      <c r="P14" s="43" t="n">
        <f aca="false">COUNTIFS('Слоты (для БД)'!$C$2:$C$181,$A14,'Слоты (для БД)'!$E$2:$E$181,7,'Слоты (для БД)'!$G$2:$G$181,"14–20")</f>
        <v>1</v>
      </c>
    </row>
    <row r="15" customFormat="false" ht="15" hidden="false" customHeight="false" outlineLevel="0" collapsed="false">
      <c r="A15" s="6" t="s">
        <v>118</v>
      </c>
      <c r="B15" s="7" t="n">
        <v>6</v>
      </c>
      <c r="C15" s="43" t="n">
        <f aca="false">COUNTIFS('Слоты (для БД)'!$C$2:$C$181,$A15,'Слоты (для БД)'!$E$2:$E$181,1,'Слоты (для БД)'!$G$2:$G$181,"08–14")</f>
        <v>3</v>
      </c>
      <c r="D15" s="43" t="n">
        <f aca="false">COUNTIFS('Слоты (для БД)'!$C$2:$C$181,$A15,'Слоты (для БД)'!$E$2:$E$181,1,'Слоты (для БД)'!$G$2:$G$181,"14–20")</f>
        <v>3</v>
      </c>
      <c r="E15" s="43" t="n">
        <f aca="false">COUNTIFS('Слоты (для БД)'!$C$2:$C$181,$A15,'Слоты (для БД)'!$E$2:$E$181,2,'Слоты (для БД)'!$G$2:$G$181,"08–14")</f>
        <v>3</v>
      </c>
      <c r="F15" s="43" t="n">
        <f aca="false">COUNTIFS('Слоты (для БД)'!$C$2:$C$181,$A15,'Слоты (для БД)'!$E$2:$E$181,2,'Слоты (для БД)'!$G$2:$G$181,"14–20")</f>
        <v>3</v>
      </c>
      <c r="G15" s="43" t="n">
        <f aca="false">COUNTIFS('Слоты (для БД)'!$C$2:$C$181,$A15,'Слоты (для БД)'!$E$2:$E$181,3,'Слоты (для БД)'!$G$2:$G$181,"08–14")</f>
        <v>3</v>
      </c>
      <c r="H15" s="43" t="n">
        <f aca="false">COUNTIFS('Слоты (для БД)'!$C$2:$C$181,$A15,'Слоты (для БД)'!$E$2:$E$181,3,'Слоты (для БД)'!$G$2:$G$181,"14–20")</f>
        <v>3</v>
      </c>
      <c r="I15" s="43" t="n">
        <f aca="false">COUNTIFS('Слоты (для БД)'!$C$2:$C$181,$A15,'Слоты (для БД)'!$E$2:$E$181,4,'Слоты (для БД)'!$G$2:$G$181,"08–14")</f>
        <v>3</v>
      </c>
      <c r="J15" s="43" t="n">
        <f aca="false">COUNTIFS('Слоты (для БД)'!$C$2:$C$181,$A15,'Слоты (для БД)'!$E$2:$E$181,4,'Слоты (для БД)'!$G$2:$G$181,"14–20")</f>
        <v>3</v>
      </c>
      <c r="K15" s="43" t="n">
        <f aca="false">COUNTIFS('Слоты (для БД)'!$C$2:$C$181,$A15,'Слоты (для БД)'!$E$2:$E$181,5,'Слоты (для БД)'!$G$2:$G$181,"08–14")</f>
        <v>3</v>
      </c>
      <c r="L15" s="43" t="n">
        <f aca="false">COUNTIFS('Слоты (для БД)'!$C$2:$C$181,$A15,'Слоты (для БД)'!$E$2:$E$181,5,'Слоты (для БД)'!$G$2:$G$181,"14–20")</f>
        <v>3</v>
      </c>
      <c r="M15" s="43" t="n">
        <f aca="false">COUNTIFS('Слоты (для БД)'!$C$2:$C$181,$A15,'Слоты (для БД)'!$E$2:$E$181,6,'Слоты (для БД)'!$G$2:$G$181,"08–14")</f>
        <v>2</v>
      </c>
      <c r="N15" s="43" t="n">
        <f aca="false">COUNTIFS('Слоты (для БД)'!$C$2:$C$181,$A15,'Слоты (для БД)'!$E$2:$E$181,6,'Слоты (для БД)'!$G$2:$G$181,"14–20")</f>
        <v>1</v>
      </c>
      <c r="O15" s="43" t="n">
        <f aca="false">COUNTIFS('Слоты (для БД)'!$C$2:$C$181,$A15,'Слоты (для БД)'!$E$2:$E$181,7,'Слоты (для БД)'!$G$2:$G$181,"08–14")</f>
        <v>2</v>
      </c>
      <c r="P15" s="43" t="n">
        <f aca="false">COUNTIFS('Слоты (для БД)'!$C$2:$C$181,$A15,'Слоты (для БД)'!$E$2:$E$181,7,'Слоты (для БД)'!$G$2:$G$181,"14–20")</f>
        <v>1</v>
      </c>
    </row>
    <row r="16" customFormat="false" ht="15" hidden="false" customHeight="false" outlineLevel="0" collapsed="false">
      <c r="A16" s="6" t="s">
        <v>125</v>
      </c>
      <c r="B16" s="7" t="n">
        <v>1</v>
      </c>
      <c r="C16" s="43" t="n">
        <f aca="false">COUNTIFS('Слоты (для БД)'!$C$2:$C$181,$A16,'Слоты (для БД)'!$E$2:$E$181,1,'Слоты (для БД)'!$G$2:$G$181,"08–14")</f>
        <v>1</v>
      </c>
      <c r="D16" s="43" t="n">
        <f aca="false">COUNTIFS('Слоты (для БД)'!$C$2:$C$181,$A16,'Слоты (для БД)'!$E$2:$E$181,1,'Слоты (для БД)'!$G$2:$G$181,"14–20")</f>
        <v>0</v>
      </c>
      <c r="E16" s="43" t="n">
        <f aca="false">COUNTIFS('Слоты (для БД)'!$C$2:$C$181,$A16,'Слоты (для БД)'!$E$2:$E$181,2,'Слоты (для БД)'!$G$2:$G$181,"08–14")</f>
        <v>0</v>
      </c>
      <c r="F16" s="43" t="n">
        <f aca="false">COUNTIFS('Слоты (для БД)'!$C$2:$C$181,$A16,'Слоты (для БД)'!$E$2:$E$181,2,'Слоты (для БД)'!$G$2:$G$181,"14–20")</f>
        <v>1</v>
      </c>
      <c r="G16" s="43" t="n">
        <f aca="false">COUNTIFS('Слоты (для БД)'!$C$2:$C$181,$A16,'Слоты (для БД)'!$E$2:$E$181,3,'Слоты (для БД)'!$G$2:$G$181,"08–14")</f>
        <v>1</v>
      </c>
      <c r="H16" s="43" t="n">
        <f aca="false">COUNTIFS('Слоты (для БД)'!$C$2:$C$181,$A16,'Слоты (для БД)'!$E$2:$E$181,3,'Слоты (для БД)'!$G$2:$G$181,"14–20")</f>
        <v>0</v>
      </c>
      <c r="I16" s="43" t="n">
        <f aca="false">COUNTIFS('Слоты (для БД)'!$C$2:$C$181,$A16,'Слоты (для БД)'!$E$2:$E$181,4,'Слоты (для БД)'!$G$2:$G$181,"08–14")</f>
        <v>0</v>
      </c>
      <c r="J16" s="43" t="n">
        <f aca="false">COUNTIFS('Слоты (для БД)'!$C$2:$C$181,$A16,'Слоты (для БД)'!$E$2:$E$181,4,'Слоты (для БД)'!$G$2:$G$181,"14–20")</f>
        <v>1</v>
      </c>
      <c r="K16" s="43" t="n">
        <f aca="false">COUNTIFS('Слоты (для БД)'!$C$2:$C$181,$A16,'Слоты (для БД)'!$E$2:$E$181,5,'Слоты (для БД)'!$G$2:$G$181,"08–14")</f>
        <v>1</v>
      </c>
      <c r="L16" s="43" t="n">
        <f aca="false">COUNTIFS('Слоты (для БД)'!$C$2:$C$181,$A16,'Слоты (для БД)'!$E$2:$E$181,5,'Слоты (для БД)'!$G$2:$G$181,"14–20")</f>
        <v>0</v>
      </c>
      <c r="M16" s="43" t="n">
        <f aca="false">COUNTIFS('Слоты (для БД)'!$C$2:$C$181,$A16,'Слоты (для БД)'!$E$2:$E$181,6,'Слоты (для БД)'!$G$2:$G$181,"08–14")</f>
        <v>0</v>
      </c>
      <c r="N16" s="43" t="n">
        <f aca="false">COUNTIFS('Слоты (для БД)'!$C$2:$C$181,$A16,'Слоты (для БД)'!$E$2:$E$181,6,'Слоты (для БД)'!$G$2:$G$181,"14–20")</f>
        <v>0</v>
      </c>
      <c r="O16" s="43" t="n">
        <f aca="false">COUNTIFS('Слоты (для БД)'!$C$2:$C$181,$A16,'Слоты (для БД)'!$E$2:$E$181,7,'Слоты (для БД)'!$G$2:$G$181,"08–14")</f>
        <v>1</v>
      </c>
      <c r="P16" s="43" t="n">
        <f aca="false">COUNTIFS('Слоты (для БД)'!$C$2:$C$181,$A16,'Слоты (для БД)'!$E$2:$E$181,7,'Слоты (для БД)'!$G$2:$G$181,"14–20")</f>
        <v>0</v>
      </c>
    </row>
    <row r="17" customFormat="false" ht="15" hidden="false" customHeight="false" outlineLevel="0" collapsed="false">
      <c r="A17" s="6" t="s">
        <v>127</v>
      </c>
      <c r="B17" s="7" t="n">
        <v>1</v>
      </c>
      <c r="C17" s="43" t="n">
        <f aca="false">COUNTIFS('Слоты (для БД)'!$C$2:$C$181,$A17,'Слоты (для БД)'!$E$2:$E$181,1,'Слоты (для БД)'!$G$2:$G$181,"08–14")</f>
        <v>0</v>
      </c>
      <c r="D17" s="43" t="n">
        <f aca="false">COUNTIFS('Слоты (для БД)'!$C$2:$C$181,$A17,'Слоты (для БД)'!$E$2:$E$181,1,'Слоты (для БД)'!$G$2:$G$181,"14–20")</f>
        <v>1</v>
      </c>
      <c r="E17" s="43" t="n">
        <f aca="false">COUNTIFS('Слоты (для БД)'!$C$2:$C$181,$A17,'Слоты (для БД)'!$E$2:$E$181,2,'Слоты (для БД)'!$G$2:$G$181,"08–14")</f>
        <v>1</v>
      </c>
      <c r="F17" s="43" t="n">
        <f aca="false">COUNTIFS('Слоты (для БД)'!$C$2:$C$181,$A17,'Слоты (для БД)'!$E$2:$E$181,2,'Слоты (для БД)'!$G$2:$G$181,"14–20")</f>
        <v>0</v>
      </c>
      <c r="G17" s="43" t="n">
        <f aca="false">COUNTIFS('Слоты (для БД)'!$C$2:$C$181,$A17,'Слоты (для БД)'!$E$2:$E$181,3,'Слоты (для БД)'!$G$2:$G$181,"08–14")</f>
        <v>0</v>
      </c>
      <c r="H17" s="43" t="n">
        <f aca="false">COUNTIFS('Слоты (для БД)'!$C$2:$C$181,$A17,'Слоты (для БД)'!$E$2:$E$181,3,'Слоты (для БД)'!$G$2:$G$181,"14–20")</f>
        <v>1</v>
      </c>
      <c r="I17" s="43" t="n">
        <f aca="false">COUNTIFS('Слоты (для БД)'!$C$2:$C$181,$A17,'Слоты (для БД)'!$E$2:$E$181,4,'Слоты (для БД)'!$G$2:$G$181,"08–14")</f>
        <v>1</v>
      </c>
      <c r="J17" s="43" t="n">
        <f aca="false">COUNTIFS('Слоты (для БД)'!$C$2:$C$181,$A17,'Слоты (для БД)'!$E$2:$E$181,4,'Слоты (для БД)'!$G$2:$G$181,"14–20")</f>
        <v>0</v>
      </c>
      <c r="K17" s="43" t="n">
        <f aca="false">COUNTIFS('Слоты (для БД)'!$C$2:$C$181,$A17,'Слоты (для БД)'!$E$2:$E$181,5,'Слоты (для БД)'!$G$2:$G$181,"08–14")</f>
        <v>0</v>
      </c>
      <c r="L17" s="43" t="n">
        <f aca="false">COUNTIFS('Слоты (для БД)'!$C$2:$C$181,$A17,'Слоты (для БД)'!$E$2:$E$181,5,'Слоты (для БД)'!$G$2:$G$181,"14–20")</f>
        <v>1</v>
      </c>
      <c r="M17" s="43" t="n">
        <f aca="false">COUNTIFS('Слоты (для БД)'!$C$2:$C$181,$A17,'Слоты (для БД)'!$E$2:$E$181,6,'Слоты (для БД)'!$G$2:$G$181,"08–14")</f>
        <v>1</v>
      </c>
      <c r="N17" s="43" t="n">
        <f aca="false">COUNTIFS('Слоты (для БД)'!$C$2:$C$181,$A17,'Слоты (для БД)'!$E$2:$E$181,6,'Слоты (для БД)'!$G$2:$G$181,"14–20")</f>
        <v>0</v>
      </c>
      <c r="O17" s="43" t="n">
        <f aca="false">COUNTIFS('Слоты (для БД)'!$C$2:$C$181,$A17,'Слоты (для БД)'!$E$2:$E$181,7,'Слоты (для БД)'!$G$2:$G$181,"08–14")</f>
        <v>0</v>
      </c>
      <c r="P17" s="43" t="n">
        <f aca="false">COUNTIFS('Слоты (для БД)'!$C$2:$C$181,$A17,'Слоты (для БД)'!$E$2:$E$181,7,'Слоты (для БД)'!$G$2:$G$181,"14–20")</f>
        <v>0</v>
      </c>
    </row>
    <row r="18" customFormat="false" ht="15" hidden="false" customHeight="false" outlineLevel="0" collapsed="false">
      <c r="A18" s="6" t="s">
        <v>129</v>
      </c>
      <c r="B18" s="7" t="n">
        <v>3</v>
      </c>
      <c r="C18" s="43" t="n">
        <f aca="false">COUNTIFS('Слоты (для БД)'!$C$2:$C$181,$A18,'Слоты (для БД)'!$E$2:$E$181,1,'Слоты (для БД)'!$G$2:$G$181,"08–14")</f>
        <v>2</v>
      </c>
      <c r="D18" s="43" t="n">
        <f aca="false">COUNTIFS('Слоты (для БД)'!$C$2:$C$181,$A18,'Слоты (для БД)'!$E$2:$E$181,1,'Слоты (для БД)'!$G$2:$G$181,"14–20")</f>
        <v>1</v>
      </c>
      <c r="E18" s="43" t="n">
        <f aca="false">COUNTIFS('Слоты (для БД)'!$C$2:$C$181,$A18,'Слоты (для БД)'!$E$2:$E$181,2,'Слоты (для БД)'!$G$2:$G$181,"08–14")</f>
        <v>1</v>
      </c>
      <c r="F18" s="43" t="n">
        <f aca="false">COUNTIFS('Слоты (для БД)'!$C$2:$C$181,$A18,'Слоты (для БД)'!$E$2:$E$181,2,'Слоты (для БД)'!$G$2:$G$181,"14–20")</f>
        <v>2</v>
      </c>
      <c r="G18" s="43" t="n">
        <f aca="false">COUNTIFS('Слоты (для БД)'!$C$2:$C$181,$A18,'Слоты (для БД)'!$E$2:$E$181,3,'Слоты (для БД)'!$G$2:$G$181,"08–14")</f>
        <v>2</v>
      </c>
      <c r="H18" s="43" t="n">
        <f aca="false">COUNTIFS('Слоты (для БД)'!$C$2:$C$181,$A18,'Слоты (для БД)'!$E$2:$E$181,3,'Слоты (для БД)'!$G$2:$G$181,"14–20")</f>
        <v>1</v>
      </c>
      <c r="I18" s="43" t="n">
        <f aca="false">COUNTIFS('Слоты (для БД)'!$C$2:$C$181,$A18,'Слоты (для БД)'!$E$2:$E$181,4,'Слоты (для БД)'!$G$2:$G$181,"08–14")</f>
        <v>1</v>
      </c>
      <c r="J18" s="43" t="n">
        <f aca="false">COUNTIFS('Слоты (для БД)'!$C$2:$C$181,$A18,'Слоты (для БД)'!$E$2:$E$181,4,'Слоты (для БД)'!$G$2:$G$181,"14–20")</f>
        <v>2</v>
      </c>
      <c r="K18" s="43" t="n">
        <f aca="false">COUNTIFS('Слоты (для БД)'!$C$2:$C$181,$A18,'Слоты (для БД)'!$E$2:$E$181,5,'Слоты (для БД)'!$G$2:$G$181,"08–14")</f>
        <v>2</v>
      </c>
      <c r="L18" s="43" t="n">
        <f aca="false">COUNTIFS('Слоты (для БД)'!$C$2:$C$181,$A18,'Слоты (для БД)'!$E$2:$E$181,5,'Слоты (для БД)'!$G$2:$G$181,"14–20")</f>
        <v>1</v>
      </c>
      <c r="M18" s="43" t="n">
        <f aca="false">COUNTIFS('Слоты (для БД)'!$C$2:$C$181,$A18,'Слоты (для БД)'!$E$2:$E$181,6,'Слоты (для БД)'!$G$2:$G$181,"08–14")</f>
        <v>1</v>
      </c>
      <c r="N18" s="43" t="n">
        <f aca="false">COUNTIFS('Слоты (для БД)'!$C$2:$C$181,$A18,'Слоты (для БД)'!$E$2:$E$181,6,'Слоты (для БД)'!$G$2:$G$181,"14–20")</f>
        <v>1</v>
      </c>
      <c r="O18" s="43" t="n">
        <f aca="false">COUNTIFS('Слоты (для БД)'!$C$2:$C$181,$A18,'Слоты (для БД)'!$E$2:$E$181,7,'Слоты (для БД)'!$G$2:$G$181,"08–14")</f>
        <v>1</v>
      </c>
      <c r="P18" s="43" t="n">
        <f aca="false">COUNTIFS('Слоты (для БД)'!$C$2:$C$181,$A18,'Слоты (для БД)'!$E$2:$E$181,7,'Слоты (для БД)'!$G$2:$G$181,"14–20")</f>
        <v>0</v>
      </c>
    </row>
    <row r="19" customFormat="false" ht="15" hidden="false" customHeight="false" outlineLevel="0" collapsed="false">
      <c r="A19" s="6" t="s">
        <v>133</v>
      </c>
      <c r="B19" s="7" t="n">
        <v>1</v>
      </c>
      <c r="C19" s="43" t="n">
        <f aca="false">COUNTIFS('Слоты (для БД)'!$C$2:$C$181,$A19,'Слоты (для БД)'!$E$2:$E$181,1,'Слоты (для БД)'!$G$2:$G$181,"08–14")</f>
        <v>0</v>
      </c>
      <c r="D19" s="43" t="n">
        <f aca="false">COUNTIFS('Слоты (для БД)'!$C$2:$C$181,$A19,'Слоты (для БД)'!$E$2:$E$181,1,'Слоты (для БД)'!$G$2:$G$181,"14–20")</f>
        <v>1</v>
      </c>
      <c r="E19" s="43" t="n">
        <f aca="false">COUNTIFS('Слоты (для БД)'!$C$2:$C$181,$A19,'Слоты (для БД)'!$E$2:$E$181,2,'Слоты (для БД)'!$G$2:$G$181,"08–14")</f>
        <v>1</v>
      </c>
      <c r="F19" s="43" t="n">
        <f aca="false">COUNTIFS('Слоты (для БД)'!$C$2:$C$181,$A19,'Слоты (для БД)'!$E$2:$E$181,2,'Слоты (для БД)'!$G$2:$G$181,"14–20")</f>
        <v>0</v>
      </c>
      <c r="G19" s="43" t="n">
        <f aca="false">COUNTIFS('Слоты (для БД)'!$C$2:$C$181,$A19,'Слоты (для БД)'!$E$2:$E$181,3,'Слоты (для БД)'!$G$2:$G$181,"08–14")</f>
        <v>0</v>
      </c>
      <c r="H19" s="43" t="n">
        <f aca="false">COUNTIFS('Слоты (для БД)'!$C$2:$C$181,$A19,'Слоты (для БД)'!$E$2:$E$181,3,'Слоты (для БД)'!$G$2:$G$181,"14–20")</f>
        <v>1</v>
      </c>
      <c r="I19" s="43" t="n">
        <f aca="false">COUNTIFS('Слоты (для БД)'!$C$2:$C$181,$A19,'Слоты (для БД)'!$E$2:$E$181,4,'Слоты (для БД)'!$G$2:$G$181,"08–14")</f>
        <v>1</v>
      </c>
      <c r="J19" s="43" t="n">
        <f aca="false">COUNTIFS('Слоты (для БД)'!$C$2:$C$181,$A19,'Слоты (для БД)'!$E$2:$E$181,4,'Слоты (для БД)'!$G$2:$G$181,"14–20")</f>
        <v>0</v>
      </c>
      <c r="K19" s="43" t="n">
        <f aca="false">COUNTIFS('Слоты (для БД)'!$C$2:$C$181,$A19,'Слоты (для БД)'!$E$2:$E$181,5,'Слоты (для БД)'!$G$2:$G$181,"08–14")</f>
        <v>0</v>
      </c>
      <c r="L19" s="43" t="n">
        <f aca="false">COUNTIFS('Слоты (для БД)'!$C$2:$C$181,$A19,'Слоты (для БД)'!$E$2:$E$181,5,'Слоты (для БД)'!$G$2:$G$181,"14–20")</f>
        <v>1</v>
      </c>
      <c r="M19" s="43" t="n">
        <f aca="false">COUNTIFS('Слоты (для БД)'!$C$2:$C$181,$A19,'Слоты (для БД)'!$E$2:$E$181,6,'Слоты (для БД)'!$G$2:$G$181,"08–14")</f>
        <v>0</v>
      </c>
      <c r="N19" s="43" t="n">
        <f aca="false">COUNTIFS('Слоты (для БД)'!$C$2:$C$181,$A19,'Слоты (для БД)'!$E$2:$E$181,6,'Слоты (для БД)'!$G$2:$G$181,"14–20")</f>
        <v>0</v>
      </c>
      <c r="O19" s="43" t="n">
        <f aca="false">COUNTIFS('Слоты (для БД)'!$C$2:$C$181,$A19,'Слоты (для БД)'!$E$2:$E$181,7,'Слоты (для БД)'!$G$2:$G$181,"08–14")</f>
        <v>1</v>
      </c>
      <c r="P19" s="43" t="n">
        <f aca="false">COUNTIFS('Слоты (для БД)'!$C$2:$C$181,$A19,'Слоты (для БД)'!$E$2:$E$181,7,'Слоты (для БД)'!$G$2:$G$181,"14–20")</f>
        <v>0</v>
      </c>
    </row>
    <row r="20" customFormat="false" ht="15" hidden="false" customHeight="false" outlineLevel="0" collapsed="false">
      <c r="A20" s="41" t="s">
        <v>137</v>
      </c>
      <c r="B20" s="5" t="n">
        <f aca="false">SUM(B3:B19)</f>
        <v>30</v>
      </c>
      <c r="C20" s="5" t="n">
        <f aca="false">SUM(C3:C19)</f>
        <v>15</v>
      </c>
      <c r="D20" s="5" t="n">
        <f aca="false">SUM(D3:D19)</f>
        <v>15</v>
      </c>
      <c r="E20" s="5" t="n">
        <f aca="false">SUM(E3:E19)</f>
        <v>15</v>
      </c>
      <c r="F20" s="5" t="n">
        <f aca="false">SUM(F3:F19)</f>
        <v>15</v>
      </c>
      <c r="G20" s="5" t="n">
        <f aca="false">SUM(G3:G19)</f>
        <v>15</v>
      </c>
      <c r="H20" s="5" t="n">
        <f aca="false">SUM(H3:H19)</f>
        <v>15</v>
      </c>
      <c r="I20" s="5" t="n">
        <f aca="false">SUM(I3:I19)</f>
        <v>15</v>
      </c>
      <c r="J20" s="5" t="n">
        <f aca="false">SUM(J3:J19)</f>
        <v>15</v>
      </c>
      <c r="K20" s="5" t="n">
        <f aca="false">SUM(K3:K19)</f>
        <v>15</v>
      </c>
      <c r="L20" s="5" t="n">
        <f aca="false">SUM(L3:L19)</f>
        <v>15</v>
      </c>
      <c r="M20" s="5" t="n">
        <f aca="false">SUM(M3:M19)</f>
        <v>13</v>
      </c>
      <c r="N20" s="5" t="n">
        <f aca="false">SUM(N3:N19)</f>
        <v>7</v>
      </c>
      <c r="O20" s="5" t="n">
        <f aca="false">SUM(O3:O19)</f>
        <v>8</v>
      </c>
      <c r="P20" s="5" t="n">
        <f aca="false">SUM(P3:P19)</f>
        <v>2</v>
      </c>
    </row>
  </sheetData>
  <mergeCells count="9">
    <mergeCell ref="A1:A2"/>
    <mergeCell ref="B1:B2"/>
    <mergeCell ref="C1:D1"/>
    <mergeCell ref="E1:F1"/>
    <mergeCell ref="G1:H1"/>
    <mergeCell ref="I1:J1"/>
    <mergeCell ref="K1:L1"/>
    <mergeCell ref="M1:N1"/>
    <mergeCell ref="O1:P1"/>
  </mergeCells>
  <conditionalFormatting sqref="C3:P19">
    <cfRule type="cellIs" priority="2" operator="equal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44"/>
    <col collapsed="false" customWidth="true" hidden="false" outlineLevel="0" max="7" min="5" style="0" width="10"/>
  </cols>
  <sheetData>
    <row r="1" customFormat="false" ht="23.85" hidden="false" customHeight="false" outlineLevel="0" collapsed="false">
      <c r="A1" s="4" t="s">
        <v>19</v>
      </c>
      <c r="B1" s="4" t="s">
        <v>20</v>
      </c>
      <c r="C1" s="4" t="s">
        <v>138</v>
      </c>
      <c r="D1" s="4" t="s">
        <v>139</v>
      </c>
      <c r="E1" s="4" t="s">
        <v>140</v>
      </c>
      <c r="F1" s="4" t="s">
        <v>141</v>
      </c>
      <c r="G1" s="4" t="s">
        <v>142</v>
      </c>
    </row>
    <row r="2" customFormat="false" ht="30" hidden="false" customHeight="true" outlineLevel="0" collapsed="false">
      <c r="A2" s="7" t="n">
        <v>101</v>
      </c>
      <c r="B2" s="6" t="s">
        <v>29</v>
      </c>
      <c r="C2" s="6" t="s">
        <v>143</v>
      </c>
      <c r="D2" s="6" t="s">
        <v>144</v>
      </c>
      <c r="E2" s="7" t="n">
        <f aca="false">COUNTIF('Слоты (для БД)'!$D$2:$D$181,A2)</f>
        <v>12</v>
      </c>
      <c r="F2" s="7" t="n">
        <v>14</v>
      </c>
      <c r="G2" s="44" t="n">
        <f aca="false">E2/F2</f>
        <v>0.857142857142857</v>
      </c>
    </row>
    <row r="3" customFormat="false" ht="30" hidden="false" customHeight="true" outlineLevel="0" collapsed="false">
      <c r="A3" s="7" t="n">
        <v>102</v>
      </c>
      <c r="B3" s="6" t="s">
        <v>29</v>
      </c>
      <c r="C3" s="6" t="s">
        <v>143</v>
      </c>
      <c r="D3" s="6" t="s">
        <v>145</v>
      </c>
      <c r="E3" s="7" t="n">
        <f aca="false">COUNTIF('Слоты (для БД)'!$D$2:$D$181,A3)</f>
        <v>12</v>
      </c>
      <c r="F3" s="7" t="n">
        <v>14</v>
      </c>
      <c r="G3" s="44" t="n">
        <f aca="false">E3/F3</f>
        <v>0.857142857142857</v>
      </c>
    </row>
    <row r="4" customFormat="false" ht="30" hidden="false" customHeight="true" outlineLevel="0" collapsed="false">
      <c r="A4" s="7" t="n">
        <v>103</v>
      </c>
      <c r="B4" s="6" t="s">
        <v>29</v>
      </c>
      <c r="C4" s="6" t="s">
        <v>143</v>
      </c>
      <c r="D4" s="6" t="s">
        <v>146</v>
      </c>
      <c r="E4" s="7" t="n">
        <f aca="false">COUNTIF('Слоты (для БД)'!$D$2:$D$181,A4)</f>
        <v>12</v>
      </c>
      <c r="F4" s="7" t="n">
        <v>14</v>
      </c>
      <c r="G4" s="44" t="n">
        <f aca="false">E4/F4</f>
        <v>0.857142857142857</v>
      </c>
    </row>
    <row r="5" customFormat="false" ht="30" hidden="false" customHeight="true" outlineLevel="0" collapsed="false">
      <c r="A5" s="7" t="n">
        <v>104</v>
      </c>
      <c r="B5" s="6" t="s">
        <v>39</v>
      </c>
      <c r="C5" s="6" t="s">
        <v>147</v>
      </c>
      <c r="D5" s="6" t="s">
        <v>148</v>
      </c>
      <c r="E5" s="7" t="n">
        <f aca="false">COUNTIF('Слоты (для БД)'!$D$2:$D$181,A5)</f>
        <v>12</v>
      </c>
      <c r="F5" s="7" t="n">
        <v>14</v>
      </c>
      <c r="G5" s="44" t="n">
        <f aca="false">E5/F5</f>
        <v>0.857142857142857</v>
      </c>
    </row>
    <row r="6" customFormat="false" ht="30" hidden="false" customHeight="true" outlineLevel="0" collapsed="false">
      <c r="A6" s="7" t="n">
        <v>105</v>
      </c>
      <c r="B6" s="6" t="s">
        <v>42</v>
      </c>
      <c r="C6" s="6" t="s">
        <v>149</v>
      </c>
      <c r="D6" s="6" t="s">
        <v>150</v>
      </c>
      <c r="E6" s="7" t="n">
        <f aca="false">COUNTIF('Слоты (для БД)'!$D$2:$D$181,A6)</f>
        <v>12</v>
      </c>
      <c r="F6" s="7" t="n">
        <v>14</v>
      </c>
      <c r="G6" s="44" t="n">
        <f aca="false">E6/F6</f>
        <v>0.857142857142857</v>
      </c>
    </row>
    <row r="7" customFormat="false" ht="30" hidden="false" customHeight="true" outlineLevel="0" collapsed="false">
      <c r="A7" s="7" t="n">
        <v>106</v>
      </c>
      <c r="B7" s="6" t="s">
        <v>45</v>
      </c>
      <c r="C7" s="6" t="s">
        <v>151</v>
      </c>
      <c r="D7" s="6" t="s">
        <v>152</v>
      </c>
      <c r="E7" s="7" t="n">
        <f aca="false">COUNTIF('Слоты (для БД)'!$D$2:$D$181,A7)</f>
        <v>12</v>
      </c>
      <c r="F7" s="7" t="n">
        <v>14</v>
      </c>
      <c r="G7" s="44" t="n">
        <f aca="false">E7/F7</f>
        <v>0.857142857142857</v>
      </c>
    </row>
    <row r="8" customFormat="false" ht="30" hidden="false" customHeight="true" outlineLevel="0" collapsed="false">
      <c r="A8" s="7" t="n">
        <v>107</v>
      </c>
      <c r="B8" s="6" t="s">
        <v>48</v>
      </c>
      <c r="C8" s="6" t="s">
        <v>153</v>
      </c>
      <c r="D8" s="6" t="s">
        <v>154</v>
      </c>
      <c r="E8" s="7" t="n">
        <f aca="false">COUNTIF('Слоты (для БД)'!$D$2:$D$181,A8)</f>
        <v>6</v>
      </c>
      <c r="F8" s="7" t="n">
        <v>14</v>
      </c>
      <c r="G8" s="44" t="n">
        <f aca="false">E8/F8</f>
        <v>0.428571428571429</v>
      </c>
    </row>
    <row r="9" customFormat="false" ht="30" hidden="false" customHeight="true" outlineLevel="0" collapsed="false">
      <c r="A9" s="7" t="n">
        <v>108</v>
      </c>
      <c r="B9" s="6" t="s">
        <v>50</v>
      </c>
      <c r="C9" s="6" t="s">
        <v>155</v>
      </c>
      <c r="D9" s="6" t="s">
        <v>156</v>
      </c>
      <c r="E9" s="7" t="n">
        <f aca="false">COUNTIF('Слоты (для БД)'!$D$2:$D$181,A9)</f>
        <v>12</v>
      </c>
      <c r="F9" s="7" t="n">
        <v>14</v>
      </c>
      <c r="G9" s="44" t="n">
        <f aca="false">E9/F9</f>
        <v>0.857142857142857</v>
      </c>
    </row>
    <row r="10" customFormat="false" ht="30" hidden="false" customHeight="true" outlineLevel="0" collapsed="false">
      <c r="A10" s="7" t="n">
        <v>109</v>
      </c>
      <c r="B10" s="6" t="s">
        <v>53</v>
      </c>
      <c r="C10" s="6" t="s">
        <v>157</v>
      </c>
      <c r="D10" s="6" t="s">
        <v>158</v>
      </c>
      <c r="E10" s="7" t="n">
        <f aca="false">COUNTIF('Слоты (для БД)'!$D$2:$D$181,A10)</f>
        <v>12</v>
      </c>
      <c r="F10" s="7" t="n">
        <v>14</v>
      </c>
      <c r="G10" s="44" t="n">
        <f aca="false">E10/F10</f>
        <v>0.857142857142857</v>
      </c>
    </row>
    <row r="11" customFormat="false" ht="30" hidden="false" customHeight="true" outlineLevel="0" collapsed="false">
      <c r="A11" s="7" t="n">
        <v>110</v>
      </c>
      <c r="B11" s="6" t="s">
        <v>56</v>
      </c>
      <c r="C11" s="6" t="s">
        <v>159</v>
      </c>
      <c r="D11" s="6" t="s">
        <v>160</v>
      </c>
      <c r="E11" s="7" t="n">
        <f aca="false">COUNTIF('Слоты (для БД)'!$D$2:$D$181,A11)</f>
        <v>6</v>
      </c>
      <c r="F11" s="7" t="n">
        <v>14</v>
      </c>
      <c r="G11" s="44" t="n">
        <f aca="false">E11/F11</f>
        <v>0.428571428571429</v>
      </c>
    </row>
    <row r="12" customFormat="false" ht="30" hidden="false" customHeight="true" outlineLevel="0" collapsed="false">
      <c r="A12" s="7" t="n">
        <v>111</v>
      </c>
      <c r="B12" s="6" t="s">
        <v>58</v>
      </c>
      <c r="C12" s="6" t="s">
        <v>161</v>
      </c>
      <c r="D12" s="6" t="s">
        <v>162</v>
      </c>
      <c r="E12" s="7" t="n">
        <f aca="false">COUNTIF('Слоты (для БД)'!$D$2:$D$181,A12)</f>
        <v>12</v>
      </c>
      <c r="F12" s="7" t="n">
        <v>14</v>
      </c>
      <c r="G12" s="44" t="n">
        <f aca="false">E12/F12</f>
        <v>0.857142857142857</v>
      </c>
    </row>
    <row r="13" customFormat="false" ht="30" hidden="false" customHeight="true" outlineLevel="0" collapsed="false">
      <c r="A13" s="7" t="n">
        <v>112</v>
      </c>
      <c r="B13" s="6" t="s">
        <v>61</v>
      </c>
      <c r="C13" s="6" t="s">
        <v>163</v>
      </c>
      <c r="D13" s="6" t="s">
        <v>164</v>
      </c>
      <c r="E13" s="7" t="n">
        <f aca="false">COUNTIF('Слоты (для БД)'!$D$2:$D$181,A13)</f>
        <v>12</v>
      </c>
      <c r="F13" s="7" t="n">
        <v>14</v>
      </c>
      <c r="G13" s="44" t="n">
        <f aca="false">E13/F13</f>
        <v>0.857142857142857</v>
      </c>
    </row>
    <row r="14" customFormat="false" ht="30" hidden="false" customHeight="true" outlineLevel="0" collapsed="false">
      <c r="A14" s="7" t="n">
        <v>113</v>
      </c>
      <c r="B14" s="6" t="s">
        <v>61</v>
      </c>
      <c r="C14" s="6" t="s">
        <v>165</v>
      </c>
      <c r="D14" s="6" t="s">
        <v>166</v>
      </c>
      <c r="E14" s="7" t="n">
        <f aca="false">COUNTIF('Слоты (для БД)'!$D$2:$D$181,A14)</f>
        <v>12</v>
      </c>
      <c r="F14" s="7" t="n">
        <v>14</v>
      </c>
      <c r="G14" s="44" t="n">
        <f aca="false">E14/F14</f>
        <v>0.857142857142857</v>
      </c>
    </row>
    <row r="15" customFormat="false" ht="30" hidden="false" customHeight="true" outlineLevel="0" collapsed="false">
      <c r="A15" s="7" t="n">
        <v>114</v>
      </c>
      <c r="B15" s="6" t="s">
        <v>61</v>
      </c>
      <c r="C15" s="6" t="s">
        <v>167</v>
      </c>
      <c r="D15" s="6" t="s">
        <v>168</v>
      </c>
      <c r="E15" s="7" t="n">
        <f aca="false">COUNTIF('Слоты (для БД)'!$D$2:$D$181,A15)</f>
        <v>6</v>
      </c>
      <c r="F15" s="7" t="n">
        <v>14</v>
      </c>
      <c r="G15" s="44" t="n">
        <f aca="false">E15/F15</f>
        <v>0.428571428571429</v>
      </c>
    </row>
    <row r="16" customFormat="false" ht="30" hidden="false" customHeight="true" outlineLevel="0" collapsed="false">
      <c r="A16" s="7" t="n">
        <v>115</v>
      </c>
      <c r="B16" s="6" t="s">
        <v>67</v>
      </c>
      <c r="C16" s="6" t="s">
        <v>169</v>
      </c>
      <c r="D16" s="6" t="s">
        <v>170</v>
      </c>
      <c r="E16" s="7" t="s">
        <v>171</v>
      </c>
      <c r="F16" s="7"/>
      <c r="G16" s="44"/>
    </row>
    <row r="17" customFormat="false" ht="30" hidden="false" customHeight="true" outlineLevel="0" collapsed="false">
      <c r="A17" s="7" t="n">
        <v>116</v>
      </c>
      <c r="B17" s="6" t="s">
        <v>69</v>
      </c>
      <c r="C17" s="6" t="s">
        <v>172</v>
      </c>
      <c r="D17" s="6" t="s">
        <v>170</v>
      </c>
      <c r="E17" s="7" t="s">
        <v>171</v>
      </c>
      <c r="F17" s="7"/>
      <c r="G17" s="44"/>
    </row>
    <row r="18" customFormat="false" ht="30" hidden="false" customHeight="true" outlineLevel="0" collapsed="false">
      <c r="A18" s="7" t="n">
        <v>201</v>
      </c>
      <c r="B18" s="6" t="s">
        <v>70</v>
      </c>
      <c r="C18" s="6" t="s">
        <v>173</v>
      </c>
      <c r="D18" s="6" t="s">
        <v>174</v>
      </c>
      <c r="E18" s="7" t="n">
        <f aca="false">COUNTIF('Слоты (для БД)'!$D$2:$D$181,A18)</f>
        <v>12</v>
      </c>
      <c r="F18" s="7" t="n">
        <v>14</v>
      </c>
      <c r="G18" s="44" t="n">
        <f aca="false">E18/F18</f>
        <v>0.857142857142857</v>
      </c>
    </row>
    <row r="19" customFormat="false" ht="30" hidden="false" customHeight="true" outlineLevel="0" collapsed="false">
      <c r="A19" s="7" t="n">
        <v>202</v>
      </c>
      <c r="B19" s="6" t="s">
        <v>70</v>
      </c>
      <c r="C19" s="6" t="s">
        <v>173</v>
      </c>
      <c r="D19" s="6" t="s">
        <v>175</v>
      </c>
      <c r="E19" s="7" t="n">
        <f aca="false">COUNTIF('Слоты (для БД)'!$D$2:$D$181,A19)</f>
        <v>12</v>
      </c>
      <c r="F19" s="7" t="n">
        <v>14</v>
      </c>
      <c r="G19" s="44" t="n">
        <f aca="false">E19/F19</f>
        <v>0.857142857142857</v>
      </c>
    </row>
    <row r="20" customFormat="false" ht="30" hidden="false" customHeight="true" outlineLevel="0" collapsed="false">
      <c r="A20" s="7" t="n">
        <v>203</v>
      </c>
      <c r="B20" s="6" t="s">
        <v>70</v>
      </c>
      <c r="C20" s="6" t="s">
        <v>173</v>
      </c>
      <c r="D20" s="6" t="s">
        <v>176</v>
      </c>
      <c r="E20" s="7" t="n">
        <f aca="false">COUNTIF('Слоты (для БД)'!$D$2:$D$181,A20)</f>
        <v>6</v>
      </c>
      <c r="F20" s="7" t="n">
        <v>14</v>
      </c>
      <c r="G20" s="44" t="n">
        <f aca="false">E20/F20</f>
        <v>0.428571428571429</v>
      </c>
    </row>
    <row r="21" customFormat="false" ht="30" hidden="false" customHeight="true" outlineLevel="0" collapsed="false">
      <c r="A21" s="7" t="n">
        <v>204</v>
      </c>
      <c r="B21" s="6" t="s">
        <v>76</v>
      </c>
      <c r="C21" s="6" t="s">
        <v>177</v>
      </c>
      <c r="D21" s="6" t="s">
        <v>170</v>
      </c>
      <c r="E21" s="7" t="s">
        <v>171</v>
      </c>
      <c r="F21" s="7"/>
      <c r="G21" s="44"/>
    </row>
    <row r="22" customFormat="false" ht="15" hidden="false" customHeight="false" outlineLevel="0" collapsed="false">
      <c r="B22" s="41" t="s">
        <v>178</v>
      </c>
      <c r="E22" s="5" t="n">
        <f aca="false">SUM(E2:E21)</f>
        <v>180</v>
      </c>
      <c r="F22" s="5" t="n">
        <f aca="false">SUM(F2:F21)</f>
        <v>238</v>
      </c>
      <c r="G22" s="45" t="n">
        <f aca="false">E22/F22</f>
        <v>0.756302521008403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9" min="8" style="0" width="9"/>
  </cols>
  <sheetData>
    <row r="1" customFormat="false" ht="35.05" hidden="false" customHeight="false" outlineLevel="0" collapsed="false">
      <c r="A1" s="4" t="s">
        <v>179</v>
      </c>
      <c r="B1" s="4" t="s">
        <v>78</v>
      </c>
      <c r="C1" s="4" t="s">
        <v>79</v>
      </c>
      <c r="D1" s="4" t="s">
        <v>80</v>
      </c>
      <c r="E1" s="4" t="s">
        <v>180</v>
      </c>
      <c r="F1" s="4" t="s">
        <v>181</v>
      </c>
      <c r="G1" s="4" t="s">
        <v>21</v>
      </c>
      <c r="H1" s="4" t="s">
        <v>182</v>
      </c>
      <c r="I1" s="4" t="s">
        <v>183</v>
      </c>
    </row>
    <row r="2" customFormat="false" ht="15" hidden="false" customHeight="false" outlineLevel="0" collapsed="false">
      <c r="A2" s="7" t="n">
        <v>1</v>
      </c>
      <c r="B2" s="6" t="s">
        <v>86</v>
      </c>
      <c r="C2" s="7" t="s">
        <v>87</v>
      </c>
      <c r="D2" s="7" t="n">
        <v>109</v>
      </c>
      <c r="E2" s="7" t="n">
        <v>1</v>
      </c>
      <c r="F2" s="7" t="s">
        <v>22</v>
      </c>
      <c r="G2" s="7" t="s">
        <v>30</v>
      </c>
      <c r="H2" s="7" t="s">
        <v>184</v>
      </c>
      <c r="I2" s="7" t="s">
        <v>185</v>
      </c>
    </row>
    <row r="3" customFormat="false" ht="15" hidden="false" customHeight="false" outlineLevel="0" collapsed="false">
      <c r="A3" s="7" t="n">
        <v>1</v>
      </c>
      <c r="B3" s="6" t="s">
        <v>86</v>
      </c>
      <c r="C3" s="7" t="s">
        <v>87</v>
      </c>
      <c r="D3" s="7" t="n">
        <v>109</v>
      </c>
      <c r="E3" s="7" t="n">
        <v>2</v>
      </c>
      <c r="F3" s="7" t="s">
        <v>23</v>
      </c>
      <c r="G3" s="7" t="s">
        <v>33</v>
      </c>
      <c r="H3" s="7" t="s">
        <v>185</v>
      </c>
      <c r="I3" s="7" t="s">
        <v>186</v>
      </c>
    </row>
    <row r="4" customFormat="false" ht="15" hidden="false" customHeight="false" outlineLevel="0" collapsed="false">
      <c r="A4" s="7" t="n">
        <v>1</v>
      </c>
      <c r="B4" s="6" t="s">
        <v>86</v>
      </c>
      <c r="C4" s="7" t="s">
        <v>87</v>
      </c>
      <c r="D4" s="7" t="n">
        <v>109</v>
      </c>
      <c r="E4" s="7" t="n">
        <v>3</v>
      </c>
      <c r="F4" s="7" t="s">
        <v>24</v>
      </c>
      <c r="G4" s="7" t="s">
        <v>30</v>
      </c>
      <c r="H4" s="7" t="s">
        <v>184</v>
      </c>
      <c r="I4" s="7" t="s">
        <v>185</v>
      </c>
    </row>
    <row r="5" customFormat="false" ht="15" hidden="false" customHeight="false" outlineLevel="0" collapsed="false">
      <c r="A5" s="7" t="n">
        <v>1</v>
      </c>
      <c r="B5" s="6" t="s">
        <v>86</v>
      </c>
      <c r="C5" s="7" t="s">
        <v>87</v>
      </c>
      <c r="D5" s="7" t="n">
        <v>109</v>
      </c>
      <c r="E5" s="7" t="n">
        <v>4</v>
      </c>
      <c r="F5" s="7" t="s">
        <v>25</v>
      </c>
      <c r="G5" s="7" t="s">
        <v>33</v>
      </c>
      <c r="H5" s="7" t="s">
        <v>185</v>
      </c>
      <c r="I5" s="7" t="s">
        <v>186</v>
      </c>
    </row>
    <row r="6" customFormat="false" ht="15" hidden="false" customHeight="false" outlineLevel="0" collapsed="false">
      <c r="A6" s="7" t="n">
        <v>1</v>
      </c>
      <c r="B6" s="6" t="s">
        <v>86</v>
      </c>
      <c r="C6" s="7" t="s">
        <v>87</v>
      </c>
      <c r="D6" s="7" t="n">
        <v>109</v>
      </c>
      <c r="E6" s="7" t="n">
        <v>5</v>
      </c>
      <c r="F6" s="7" t="s">
        <v>26</v>
      </c>
      <c r="G6" s="7" t="s">
        <v>30</v>
      </c>
      <c r="H6" s="7" t="s">
        <v>184</v>
      </c>
      <c r="I6" s="7" t="s">
        <v>185</v>
      </c>
    </row>
    <row r="7" customFormat="false" ht="15" hidden="false" customHeight="false" outlineLevel="0" collapsed="false">
      <c r="A7" s="7" t="n">
        <v>1</v>
      </c>
      <c r="B7" s="6" t="s">
        <v>86</v>
      </c>
      <c r="C7" s="7" t="s">
        <v>87</v>
      </c>
      <c r="D7" s="7" t="n">
        <v>109</v>
      </c>
      <c r="E7" s="7" t="n">
        <v>6</v>
      </c>
      <c r="F7" s="7" t="s">
        <v>27</v>
      </c>
      <c r="G7" s="7" t="s">
        <v>30</v>
      </c>
      <c r="H7" s="7" t="s">
        <v>184</v>
      </c>
      <c r="I7" s="7" t="s">
        <v>185</v>
      </c>
    </row>
    <row r="8" customFormat="false" ht="15" hidden="false" customHeight="false" outlineLevel="0" collapsed="false">
      <c r="A8" s="7" t="n">
        <v>2</v>
      </c>
      <c r="B8" s="6" t="s">
        <v>89</v>
      </c>
      <c r="C8" s="7" t="s">
        <v>90</v>
      </c>
      <c r="D8" s="7" t="n">
        <v>111</v>
      </c>
      <c r="E8" s="7" t="n">
        <v>1</v>
      </c>
      <c r="F8" s="7" t="s">
        <v>22</v>
      </c>
      <c r="G8" s="7" t="s">
        <v>33</v>
      </c>
      <c r="H8" s="7" t="s">
        <v>185</v>
      </c>
      <c r="I8" s="7" t="s">
        <v>186</v>
      </c>
    </row>
    <row r="9" customFormat="false" ht="15" hidden="false" customHeight="false" outlineLevel="0" collapsed="false">
      <c r="A9" s="7" t="n">
        <v>2</v>
      </c>
      <c r="B9" s="6" t="s">
        <v>89</v>
      </c>
      <c r="C9" s="7" t="s">
        <v>90</v>
      </c>
      <c r="D9" s="7" t="n">
        <v>111</v>
      </c>
      <c r="E9" s="7" t="n">
        <v>2</v>
      </c>
      <c r="F9" s="7" t="s">
        <v>23</v>
      </c>
      <c r="G9" s="7" t="s">
        <v>30</v>
      </c>
      <c r="H9" s="7" t="s">
        <v>184</v>
      </c>
      <c r="I9" s="7" t="s">
        <v>185</v>
      </c>
    </row>
    <row r="10" customFormat="false" ht="15" hidden="false" customHeight="false" outlineLevel="0" collapsed="false">
      <c r="A10" s="7" t="n">
        <v>2</v>
      </c>
      <c r="B10" s="6" t="s">
        <v>89</v>
      </c>
      <c r="C10" s="7" t="s">
        <v>90</v>
      </c>
      <c r="D10" s="7" t="n">
        <v>111</v>
      </c>
      <c r="E10" s="7" t="n">
        <v>3</v>
      </c>
      <c r="F10" s="7" t="s">
        <v>24</v>
      </c>
      <c r="G10" s="7" t="s">
        <v>33</v>
      </c>
      <c r="H10" s="7" t="s">
        <v>185</v>
      </c>
      <c r="I10" s="7" t="s">
        <v>186</v>
      </c>
    </row>
    <row r="11" customFormat="false" ht="15" hidden="false" customHeight="false" outlineLevel="0" collapsed="false">
      <c r="A11" s="7" t="n">
        <v>2</v>
      </c>
      <c r="B11" s="6" t="s">
        <v>89</v>
      </c>
      <c r="C11" s="7" t="s">
        <v>90</v>
      </c>
      <c r="D11" s="7" t="n">
        <v>111</v>
      </c>
      <c r="E11" s="7" t="n">
        <v>4</v>
      </c>
      <c r="F11" s="7" t="s">
        <v>25</v>
      </c>
      <c r="G11" s="7" t="s">
        <v>30</v>
      </c>
      <c r="H11" s="7" t="s">
        <v>184</v>
      </c>
      <c r="I11" s="7" t="s">
        <v>185</v>
      </c>
    </row>
    <row r="12" customFormat="false" ht="15" hidden="false" customHeight="false" outlineLevel="0" collapsed="false">
      <c r="A12" s="7" t="n">
        <v>2</v>
      </c>
      <c r="B12" s="6" t="s">
        <v>89</v>
      </c>
      <c r="C12" s="7" t="s">
        <v>90</v>
      </c>
      <c r="D12" s="7" t="n">
        <v>111</v>
      </c>
      <c r="E12" s="7" t="n">
        <v>5</v>
      </c>
      <c r="F12" s="7" t="s">
        <v>26</v>
      </c>
      <c r="G12" s="7" t="s">
        <v>33</v>
      </c>
      <c r="H12" s="7" t="s">
        <v>185</v>
      </c>
      <c r="I12" s="7" t="s">
        <v>186</v>
      </c>
    </row>
    <row r="13" customFormat="false" ht="15" hidden="false" customHeight="false" outlineLevel="0" collapsed="false">
      <c r="A13" s="7" t="n">
        <v>2</v>
      </c>
      <c r="B13" s="6" t="s">
        <v>89</v>
      </c>
      <c r="C13" s="7" t="s">
        <v>90</v>
      </c>
      <c r="D13" s="7" t="n">
        <v>111</v>
      </c>
      <c r="E13" s="7" t="n">
        <v>7</v>
      </c>
      <c r="F13" s="7" t="s">
        <v>28</v>
      </c>
      <c r="G13" s="7" t="s">
        <v>30</v>
      </c>
      <c r="H13" s="7" t="s">
        <v>184</v>
      </c>
      <c r="I13" s="7" t="s">
        <v>185</v>
      </c>
    </row>
    <row r="14" customFormat="false" ht="15" hidden="false" customHeight="false" outlineLevel="0" collapsed="false">
      <c r="A14" s="7" t="n">
        <v>3</v>
      </c>
      <c r="B14" s="6" t="s">
        <v>91</v>
      </c>
      <c r="C14" s="7" t="s">
        <v>92</v>
      </c>
      <c r="D14" s="7" t="n">
        <v>114</v>
      </c>
      <c r="E14" s="7" t="n">
        <v>1</v>
      </c>
      <c r="F14" s="7" t="s">
        <v>22</v>
      </c>
      <c r="G14" s="7" t="s">
        <v>33</v>
      </c>
      <c r="H14" s="7" t="s">
        <v>185</v>
      </c>
      <c r="I14" s="7" t="s">
        <v>186</v>
      </c>
    </row>
    <row r="15" customFormat="false" ht="15" hidden="false" customHeight="false" outlineLevel="0" collapsed="false">
      <c r="A15" s="7" t="n">
        <v>3</v>
      </c>
      <c r="B15" s="6" t="s">
        <v>91</v>
      </c>
      <c r="C15" s="7" t="s">
        <v>92</v>
      </c>
      <c r="D15" s="7" t="n">
        <v>114</v>
      </c>
      <c r="E15" s="7" t="n">
        <v>2</v>
      </c>
      <c r="F15" s="7" t="s">
        <v>23</v>
      </c>
      <c r="G15" s="7" t="s">
        <v>30</v>
      </c>
      <c r="H15" s="7" t="s">
        <v>184</v>
      </c>
      <c r="I15" s="7" t="s">
        <v>185</v>
      </c>
    </row>
    <row r="16" customFormat="false" ht="15" hidden="false" customHeight="false" outlineLevel="0" collapsed="false">
      <c r="A16" s="7" t="n">
        <v>3</v>
      </c>
      <c r="B16" s="6" t="s">
        <v>91</v>
      </c>
      <c r="C16" s="7" t="s">
        <v>92</v>
      </c>
      <c r="D16" s="7" t="n">
        <v>114</v>
      </c>
      <c r="E16" s="7" t="n">
        <v>3</v>
      </c>
      <c r="F16" s="7" t="s">
        <v>24</v>
      </c>
      <c r="G16" s="7" t="s">
        <v>33</v>
      </c>
      <c r="H16" s="7" t="s">
        <v>185</v>
      </c>
      <c r="I16" s="7" t="s">
        <v>186</v>
      </c>
    </row>
    <row r="17" customFormat="false" ht="15" hidden="false" customHeight="false" outlineLevel="0" collapsed="false">
      <c r="A17" s="7" t="n">
        <v>3</v>
      </c>
      <c r="B17" s="6" t="s">
        <v>91</v>
      </c>
      <c r="C17" s="7" t="s">
        <v>92</v>
      </c>
      <c r="D17" s="7" t="n">
        <v>114</v>
      </c>
      <c r="E17" s="7" t="n">
        <v>4</v>
      </c>
      <c r="F17" s="7" t="s">
        <v>25</v>
      </c>
      <c r="G17" s="7" t="s">
        <v>30</v>
      </c>
      <c r="H17" s="7" t="s">
        <v>184</v>
      </c>
      <c r="I17" s="7" t="s">
        <v>185</v>
      </c>
    </row>
    <row r="18" customFormat="false" ht="15" hidden="false" customHeight="false" outlineLevel="0" collapsed="false">
      <c r="A18" s="7" t="n">
        <v>3</v>
      </c>
      <c r="B18" s="6" t="s">
        <v>91</v>
      </c>
      <c r="C18" s="7" t="s">
        <v>92</v>
      </c>
      <c r="D18" s="7" t="n">
        <v>114</v>
      </c>
      <c r="E18" s="7" t="n">
        <v>5</v>
      </c>
      <c r="F18" s="7" t="s">
        <v>26</v>
      </c>
      <c r="G18" s="7" t="s">
        <v>33</v>
      </c>
      <c r="H18" s="7" t="s">
        <v>185</v>
      </c>
      <c r="I18" s="7" t="s">
        <v>186</v>
      </c>
    </row>
    <row r="19" customFormat="false" ht="15" hidden="false" customHeight="false" outlineLevel="0" collapsed="false">
      <c r="A19" s="7" t="n">
        <v>3</v>
      </c>
      <c r="B19" s="6" t="s">
        <v>91</v>
      </c>
      <c r="C19" s="7" t="s">
        <v>92</v>
      </c>
      <c r="D19" s="7" t="n">
        <v>114</v>
      </c>
      <c r="E19" s="7" t="n">
        <v>6</v>
      </c>
      <c r="F19" s="7" t="s">
        <v>27</v>
      </c>
      <c r="G19" s="7" t="s">
        <v>33</v>
      </c>
      <c r="H19" s="7" t="s">
        <v>185</v>
      </c>
      <c r="I19" s="7" t="s">
        <v>186</v>
      </c>
    </row>
    <row r="20" customFormat="false" ht="15" hidden="false" customHeight="false" outlineLevel="0" collapsed="false">
      <c r="A20" s="7" t="n">
        <v>4</v>
      </c>
      <c r="B20" s="6" t="s">
        <v>93</v>
      </c>
      <c r="C20" s="7" t="s">
        <v>94</v>
      </c>
      <c r="D20" s="7" t="n">
        <v>111</v>
      </c>
      <c r="E20" s="7" t="n">
        <v>1</v>
      </c>
      <c r="F20" s="7" t="s">
        <v>22</v>
      </c>
      <c r="G20" s="7" t="s">
        <v>30</v>
      </c>
      <c r="H20" s="7" t="s">
        <v>184</v>
      </c>
      <c r="I20" s="7" t="s">
        <v>185</v>
      </c>
    </row>
    <row r="21" customFormat="false" ht="15" hidden="false" customHeight="false" outlineLevel="0" collapsed="false">
      <c r="A21" s="7" t="n">
        <v>4</v>
      </c>
      <c r="B21" s="6" t="s">
        <v>93</v>
      </c>
      <c r="C21" s="7" t="s">
        <v>94</v>
      </c>
      <c r="D21" s="7" t="n">
        <v>111</v>
      </c>
      <c r="E21" s="7" t="n">
        <v>2</v>
      </c>
      <c r="F21" s="7" t="s">
        <v>23</v>
      </c>
      <c r="G21" s="7" t="s">
        <v>33</v>
      </c>
      <c r="H21" s="7" t="s">
        <v>185</v>
      </c>
      <c r="I21" s="7" t="s">
        <v>186</v>
      </c>
    </row>
    <row r="22" customFormat="false" ht="15" hidden="false" customHeight="false" outlineLevel="0" collapsed="false">
      <c r="A22" s="7" t="n">
        <v>4</v>
      </c>
      <c r="B22" s="6" t="s">
        <v>93</v>
      </c>
      <c r="C22" s="7" t="s">
        <v>94</v>
      </c>
      <c r="D22" s="7" t="n">
        <v>111</v>
      </c>
      <c r="E22" s="7" t="n">
        <v>3</v>
      </c>
      <c r="F22" s="7" t="s">
        <v>24</v>
      </c>
      <c r="G22" s="7" t="s">
        <v>30</v>
      </c>
      <c r="H22" s="7" t="s">
        <v>184</v>
      </c>
      <c r="I22" s="7" t="s">
        <v>185</v>
      </c>
    </row>
    <row r="23" customFormat="false" ht="15" hidden="false" customHeight="false" outlineLevel="0" collapsed="false">
      <c r="A23" s="7" t="n">
        <v>4</v>
      </c>
      <c r="B23" s="6" t="s">
        <v>93</v>
      </c>
      <c r="C23" s="7" t="s">
        <v>94</v>
      </c>
      <c r="D23" s="7" t="n">
        <v>111</v>
      </c>
      <c r="E23" s="7" t="n">
        <v>4</v>
      </c>
      <c r="F23" s="7" t="s">
        <v>25</v>
      </c>
      <c r="G23" s="7" t="s">
        <v>33</v>
      </c>
      <c r="H23" s="7" t="s">
        <v>185</v>
      </c>
      <c r="I23" s="7" t="s">
        <v>186</v>
      </c>
    </row>
    <row r="24" customFormat="false" ht="15" hidden="false" customHeight="false" outlineLevel="0" collapsed="false">
      <c r="A24" s="7" t="n">
        <v>4</v>
      </c>
      <c r="B24" s="6" t="s">
        <v>93</v>
      </c>
      <c r="C24" s="7" t="s">
        <v>94</v>
      </c>
      <c r="D24" s="7" t="n">
        <v>111</v>
      </c>
      <c r="E24" s="7" t="n">
        <v>5</v>
      </c>
      <c r="F24" s="7" t="s">
        <v>26</v>
      </c>
      <c r="G24" s="7" t="s">
        <v>30</v>
      </c>
      <c r="H24" s="7" t="s">
        <v>184</v>
      </c>
      <c r="I24" s="7" t="s">
        <v>185</v>
      </c>
    </row>
    <row r="25" customFormat="false" ht="15" hidden="false" customHeight="false" outlineLevel="0" collapsed="false">
      <c r="A25" s="7" t="n">
        <v>4</v>
      </c>
      <c r="B25" s="6" t="s">
        <v>93</v>
      </c>
      <c r="C25" s="7" t="s">
        <v>94</v>
      </c>
      <c r="D25" s="7" t="n">
        <v>111</v>
      </c>
      <c r="E25" s="7" t="n">
        <v>6</v>
      </c>
      <c r="F25" s="7" t="s">
        <v>27</v>
      </c>
      <c r="G25" s="7" t="s">
        <v>30</v>
      </c>
      <c r="H25" s="7" t="s">
        <v>184</v>
      </c>
      <c r="I25" s="7" t="s">
        <v>185</v>
      </c>
    </row>
    <row r="26" customFormat="false" ht="15" hidden="false" customHeight="false" outlineLevel="0" collapsed="false">
      <c r="A26" s="7" t="n">
        <v>5</v>
      </c>
      <c r="B26" s="6" t="s">
        <v>95</v>
      </c>
      <c r="C26" s="7" t="s">
        <v>96</v>
      </c>
      <c r="D26" s="7" t="n">
        <v>112</v>
      </c>
      <c r="E26" s="7" t="n">
        <v>1</v>
      </c>
      <c r="F26" s="7" t="s">
        <v>22</v>
      </c>
      <c r="G26" s="7" t="s">
        <v>30</v>
      </c>
      <c r="H26" s="7" t="s">
        <v>184</v>
      </c>
      <c r="I26" s="7" t="s">
        <v>185</v>
      </c>
    </row>
    <row r="27" customFormat="false" ht="15" hidden="false" customHeight="false" outlineLevel="0" collapsed="false">
      <c r="A27" s="7" t="n">
        <v>5</v>
      </c>
      <c r="B27" s="6" t="s">
        <v>95</v>
      </c>
      <c r="C27" s="7" t="s">
        <v>96</v>
      </c>
      <c r="D27" s="7" t="n">
        <v>112</v>
      </c>
      <c r="E27" s="7" t="n">
        <v>2</v>
      </c>
      <c r="F27" s="7" t="s">
        <v>23</v>
      </c>
      <c r="G27" s="7" t="s">
        <v>33</v>
      </c>
      <c r="H27" s="7" t="s">
        <v>185</v>
      </c>
      <c r="I27" s="7" t="s">
        <v>186</v>
      </c>
    </row>
    <row r="28" customFormat="false" ht="15" hidden="false" customHeight="false" outlineLevel="0" collapsed="false">
      <c r="A28" s="7" t="n">
        <v>5</v>
      </c>
      <c r="B28" s="6" t="s">
        <v>95</v>
      </c>
      <c r="C28" s="7" t="s">
        <v>96</v>
      </c>
      <c r="D28" s="7" t="n">
        <v>112</v>
      </c>
      <c r="E28" s="7" t="n">
        <v>3</v>
      </c>
      <c r="F28" s="7" t="s">
        <v>24</v>
      </c>
      <c r="G28" s="7" t="s">
        <v>30</v>
      </c>
      <c r="H28" s="7" t="s">
        <v>184</v>
      </c>
      <c r="I28" s="7" t="s">
        <v>185</v>
      </c>
    </row>
    <row r="29" customFormat="false" ht="15" hidden="false" customHeight="false" outlineLevel="0" collapsed="false">
      <c r="A29" s="7" t="n">
        <v>5</v>
      </c>
      <c r="B29" s="6" t="s">
        <v>95</v>
      </c>
      <c r="C29" s="7" t="s">
        <v>96</v>
      </c>
      <c r="D29" s="7" t="n">
        <v>112</v>
      </c>
      <c r="E29" s="7" t="n">
        <v>4</v>
      </c>
      <c r="F29" s="7" t="s">
        <v>25</v>
      </c>
      <c r="G29" s="7" t="s">
        <v>33</v>
      </c>
      <c r="H29" s="7" t="s">
        <v>185</v>
      </c>
      <c r="I29" s="7" t="s">
        <v>186</v>
      </c>
    </row>
    <row r="30" customFormat="false" ht="15" hidden="false" customHeight="false" outlineLevel="0" collapsed="false">
      <c r="A30" s="7" t="n">
        <v>5</v>
      </c>
      <c r="B30" s="6" t="s">
        <v>95</v>
      </c>
      <c r="C30" s="7" t="s">
        <v>96</v>
      </c>
      <c r="D30" s="7" t="n">
        <v>112</v>
      </c>
      <c r="E30" s="7" t="n">
        <v>5</v>
      </c>
      <c r="F30" s="7" t="s">
        <v>26</v>
      </c>
      <c r="G30" s="7" t="s">
        <v>30</v>
      </c>
      <c r="H30" s="7" t="s">
        <v>184</v>
      </c>
      <c r="I30" s="7" t="s">
        <v>185</v>
      </c>
    </row>
    <row r="31" customFormat="false" ht="15" hidden="false" customHeight="false" outlineLevel="0" collapsed="false">
      <c r="A31" s="7" t="n">
        <v>5</v>
      </c>
      <c r="B31" s="6" t="s">
        <v>95</v>
      </c>
      <c r="C31" s="7" t="s">
        <v>96</v>
      </c>
      <c r="D31" s="7" t="n">
        <v>112</v>
      </c>
      <c r="E31" s="7" t="n">
        <v>6</v>
      </c>
      <c r="F31" s="7" t="s">
        <v>27</v>
      </c>
      <c r="G31" s="7" t="s">
        <v>30</v>
      </c>
      <c r="H31" s="7" t="s">
        <v>184</v>
      </c>
      <c r="I31" s="7" t="s">
        <v>185</v>
      </c>
    </row>
    <row r="32" customFormat="false" ht="15" hidden="false" customHeight="false" outlineLevel="0" collapsed="false">
      <c r="A32" s="7" t="n">
        <v>6</v>
      </c>
      <c r="B32" s="6" t="s">
        <v>97</v>
      </c>
      <c r="C32" s="7" t="s">
        <v>98</v>
      </c>
      <c r="D32" s="7" t="n">
        <v>108</v>
      </c>
      <c r="E32" s="7" t="n">
        <v>1</v>
      </c>
      <c r="F32" s="7" t="s">
        <v>22</v>
      </c>
      <c r="G32" s="7" t="s">
        <v>30</v>
      </c>
      <c r="H32" s="7" t="s">
        <v>184</v>
      </c>
      <c r="I32" s="7" t="s">
        <v>185</v>
      </c>
    </row>
    <row r="33" customFormat="false" ht="15" hidden="false" customHeight="false" outlineLevel="0" collapsed="false">
      <c r="A33" s="7" t="n">
        <v>6</v>
      </c>
      <c r="B33" s="6" t="s">
        <v>97</v>
      </c>
      <c r="C33" s="7" t="s">
        <v>98</v>
      </c>
      <c r="D33" s="7" t="n">
        <v>108</v>
      </c>
      <c r="E33" s="7" t="n">
        <v>2</v>
      </c>
      <c r="F33" s="7" t="s">
        <v>23</v>
      </c>
      <c r="G33" s="7" t="s">
        <v>33</v>
      </c>
      <c r="H33" s="7" t="s">
        <v>185</v>
      </c>
      <c r="I33" s="7" t="s">
        <v>186</v>
      </c>
    </row>
    <row r="34" customFormat="false" ht="15" hidden="false" customHeight="false" outlineLevel="0" collapsed="false">
      <c r="A34" s="7" t="n">
        <v>6</v>
      </c>
      <c r="B34" s="6" t="s">
        <v>97</v>
      </c>
      <c r="C34" s="7" t="s">
        <v>98</v>
      </c>
      <c r="D34" s="7" t="n">
        <v>108</v>
      </c>
      <c r="E34" s="7" t="n">
        <v>3</v>
      </c>
      <c r="F34" s="7" t="s">
        <v>24</v>
      </c>
      <c r="G34" s="7" t="s">
        <v>30</v>
      </c>
      <c r="H34" s="7" t="s">
        <v>184</v>
      </c>
      <c r="I34" s="7" t="s">
        <v>185</v>
      </c>
    </row>
    <row r="35" customFormat="false" ht="15" hidden="false" customHeight="false" outlineLevel="0" collapsed="false">
      <c r="A35" s="7" t="n">
        <v>6</v>
      </c>
      <c r="B35" s="6" t="s">
        <v>97</v>
      </c>
      <c r="C35" s="7" t="s">
        <v>98</v>
      </c>
      <c r="D35" s="7" t="n">
        <v>108</v>
      </c>
      <c r="E35" s="7" t="n">
        <v>4</v>
      </c>
      <c r="F35" s="7" t="s">
        <v>25</v>
      </c>
      <c r="G35" s="7" t="s">
        <v>33</v>
      </c>
      <c r="H35" s="7" t="s">
        <v>185</v>
      </c>
      <c r="I35" s="7" t="s">
        <v>186</v>
      </c>
    </row>
    <row r="36" customFormat="false" ht="15" hidden="false" customHeight="false" outlineLevel="0" collapsed="false">
      <c r="A36" s="7" t="n">
        <v>6</v>
      </c>
      <c r="B36" s="6" t="s">
        <v>97</v>
      </c>
      <c r="C36" s="7" t="s">
        <v>98</v>
      </c>
      <c r="D36" s="7" t="n">
        <v>108</v>
      </c>
      <c r="E36" s="7" t="n">
        <v>5</v>
      </c>
      <c r="F36" s="7" t="s">
        <v>26</v>
      </c>
      <c r="G36" s="7" t="s">
        <v>30</v>
      </c>
      <c r="H36" s="7" t="s">
        <v>184</v>
      </c>
      <c r="I36" s="7" t="s">
        <v>185</v>
      </c>
    </row>
    <row r="37" customFormat="false" ht="15" hidden="false" customHeight="false" outlineLevel="0" collapsed="false">
      <c r="A37" s="7" t="n">
        <v>6</v>
      </c>
      <c r="B37" s="6" t="s">
        <v>97</v>
      </c>
      <c r="C37" s="7" t="s">
        <v>98</v>
      </c>
      <c r="D37" s="7" t="n">
        <v>108</v>
      </c>
      <c r="E37" s="7" t="n">
        <v>6</v>
      </c>
      <c r="F37" s="7" t="s">
        <v>27</v>
      </c>
      <c r="G37" s="7" t="s">
        <v>30</v>
      </c>
      <c r="H37" s="7" t="s">
        <v>184</v>
      </c>
      <c r="I37" s="7" t="s">
        <v>185</v>
      </c>
    </row>
    <row r="38" customFormat="false" ht="15" hidden="false" customHeight="false" outlineLevel="0" collapsed="false">
      <c r="A38" s="7" t="n">
        <v>7</v>
      </c>
      <c r="B38" s="6" t="s">
        <v>99</v>
      </c>
      <c r="C38" s="7" t="s">
        <v>98</v>
      </c>
      <c r="D38" s="7" t="n">
        <v>108</v>
      </c>
      <c r="E38" s="7" t="n">
        <v>1</v>
      </c>
      <c r="F38" s="7" t="s">
        <v>22</v>
      </c>
      <c r="G38" s="7" t="s">
        <v>33</v>
      </c>
      <c r="H38" s="7" t="s">
        <v>185</v>
      </c>
      <c r="I38" s="7" t="s">
        <v>186</v>
      </c>
    </row>
    <row r="39" customFormat="false" ht="15" hidden="false" customHeight="false" outlineLevel="0" collapsed="false">
      <c r="A39" s="7" t="n">
        <v>7</v>
      </c>
      <c r="B39" s="6" t="s">
        <v>99</v>
      </c>
      <c r="C39" s="7" t="s">
        <v>98</v>
      </c>
      <c r="D39" s="7" t="n">
        <v>108</v>
      </c>
      <c r="E39" s="7" t="n">
        <v>2</v>
      </c>
      <c r="F39" s="7" t="s">
        <v>23</v>
      </c>
      <c r="G39" s="7" t="s">
        <v>30</v>
      </c>
      <c r="H39" s="7" t="s">
        <v>184</v>
      </c>
      <c r="I39" s="7" t="s">
        <v>185</v>
      </c>
    </row>
    <row r="40" customFormat="false" ht="15" hidden="false" customHeight="false" outlineLevel="0" collapsed="false">
      <c r="A40" s="7" t="n">
        <v>7</v>
      </c>
      <c r="B40" s="6" t="s">
        <v>99</v>
      </c>
      <c r="C40" s="7" t="s">
        <v>98</v>
      </c>
      <c r="D40" s="7" t="n">
        <v>108</v>
      </c>
      <c r="E40" s="7" t="n">
        <v>3</v>
      </c>
      <c r="F40" s="7" t="s">
        <v>24</v>
      </c>
      <c r="G40" s="7" t="s">
        <v>33</v>
      </c>
      <c r="H40" s="7" t="s">
        <v>185</v>
      </c>
      <c r="I40" s="7" t="s">
        <v>186</v>
      </c>
    </row>
    <row r="41" customFormat="false" ht="15" hidden="false" customHeight="false" outlineLevel="0" collapsed="false">
      <c r="A41" s="7" t="n">
        <v>7</v>
      </c>
      <c r="B41" s="6" t="s">
        <v>99</v>
      </c>
      <c r="C41" s="7" t="s">
        <v>98</v>
      </c>
      <c r="D41" s="7" t="n">
        <v>108</v>
      </c>
      <c r="E41" s="7" t="n">
        <v>4</v>
      </c>
      <c r="F41" s="7" t="s">
        <v>25</v>
      </c>
      <c r="G41" s="7" t="s">
        <v>30</v>
      </c>
      <c r="H41" s="7" t="s">
        <v>184</v>
      </c>
      <c r="I41" s="7" t="s">
        <v>185</v>
      </c>
    </row>
    <row r="42" customFormat="false" ht="15" hidden="false" customHeight="false" outlineLevel="0" collapsed="false">
      <c r="A42" s="7" t="n">
        <v>7</v>
      </c>
      <c r="B42" s="6" t="s">
        <v>99</v>
      </c>
      <c r="C42" s="7" t="s">
        <v>98</v>
      </c>
      <c r="D42" s="7" t="n">
        <v>108</v>
      </c>
      <c r="E42" s="7" t="n">
        <v>5</v>
      </c>
      <c r="F42" s="7" t="s">
        <v>26</v>
      </c>
      <c r="G42" s="7" t="s">
        <v>33</v>
      </c>
      <c r="H42" s="7" t="s">
        <v>185</v>
      </c>
      <c r="I42" s="7" t="s">
        <v>186</v>
      </c>
    </row>
    <row r="43" customFormat="false" ht="15" hidden="false" customHeight="false" outlineLevel="0" collapsed="false">
      <c r="A43" s="7" t="n">
        <v>7</v>
      </c>
      <c r="B43" s="6" t="s">
        <v>99</v>
      </c>
      <c r="C43" s="7" t="s">
        <v>98</v>
      </c>
      <c r="D43" s="7" t="n">
        <v>108</v>
      </c>
      <c r="E43" s="7" t="n">
        <v>7</v>
      </c>
      <c r="F43" s="7" t="s">
        <v>28</v>
      </c>
      <c r="G43" s="7" t="s">
        <v>30</v>
      </c>
      <c r="H43" s="7" t="s">
        <v>184</v>
      </c>
      <c r="I43" s="7" t="s">
        <v>185</v>
      </c>
    </row>
    <row r="44" customFormat="false" ht="15" hidden="false" customHeight="false" outlineLevel="0" collapsed="false">
      <c r="A44" s="7" t="n">
        <v>8</v>
      </c>
      <c r="B44" s="6" t="s">
        <v>100</v>
      </c>
      <c r="C44" s="7" t="s">
        <v>101</v>
      </c>
      <c r="D44" s="7" t="n">
        <v>109</v>
      </c>
      <c r="E44" s="7" t="n">
        <v>1</v>
      </c>
      <c r="F44" s="7" t="s">
        <v>22</v>
      </c>
      <c r="G44" s="7" t="s">
        <v>33</v>
      </c>
      <c r="H44" s="7" t="s">
        <v>185</v>
      </c>
      <c r="I44" s="7" t="s">
        <v>186</v>
      </c>
    </row>
    <row r="45" customFormat="false" ht="15" hidden="false" customHeight="false" outlineLevel="0" collapsed="false">
      <c r="A45" s="7" t="n">
        <v>8</v>
      </c>
      <c r="B45" s="6" t="s">
        <v>100</v>
      </c>
      <c r="C45" s="7" t="s">
        <v>101</v>
      </c>
      <c r="D45" s="7" t="n">
        <v>109</v>
      </c>
      <c r="E45" s="7" t="n">
        <v>2</v>
      </c>
      <c r="F45" s="7" t="s">
        <v>23</v>
      </c>
      <c r="G45" s="7" t="s">
        <v>30</v>
      </c>
      <c r="H45" s="7" t="s">
        <v>184</v>
      </c>
      <c r="I45" s="7" t="s">
        <v>185</v>
      </c>
    </row>
    <row r="46" customFormat="false" ht="15" hidden="false" customHeight="false" outlineLevel="0" collapsed="false">
      <c r="A46" s="7" t="n">
        <v>8</v>
      </c>
      <c r="B46" s="6" t="s">
        <v>100</v>
      </c>
      <c r="C46" s="7" t="s">
        <v>101</v>
      </c>
      <c r="D46" s="7" t="n">
        <v>109</v>
      </c>
      <c r="E46" s="7" t="n">
        <v>3</v>
      </c>
      <c r="F46" s="7" t="s">
        <v>24</v>
      </c>
      <c r="G46" s="7" t="s">
        <v>33</v>
      </c>
      <c r="H46" s="7" t="s">
        <v>185</v>
      </c>
      <c r="I46" s="7" t="s">
        <v>186</v>
      </c>
    </row>
    <row r="47" customFormat="false" ht="15" hidden="false" customHeight="false" outlineLevel="0" collapsed="false">
      <c r="A47" s="7" t="n">
        <v>8</v>
      </c>
      <c r="B47" s="6" t="s">
        <v>100</v>
      </c>
      <c r="C47" s="7" t="s">
        <v>101</v>
      </c>
      <c r="D47" s="7" t="n">
        <v>109</v>
      </c>
      <c r="E47" s="7" t="n">
        <v>4</v>
      </c>
      <c r="F47" s="7" t="s">
        <v>25</v>
      </c>
      <c r="G47" s="7" t="s">
        <v>30</v>
      </c>
      <c r="H47" s="7" t="s">
        <v>184</v>
      </c>
      <c r="I47" s="7" t="s">
        <v>185</v>
      </c>
    </row>
    <row r="48" customFormat="false" ht="15" hidden="false" customHeight="false" outlineLevel="0" collapsed="false">
      <c r="A48" s="7" t="n">
        <v>8</v>
      </c>
      <c r="B48" s="6" t="s">
        <v>100</v>
      </c>
      <c r="C48" s="7" t="s">
        <v>101</v>
      </c>
      <c r="D48" s="7" t="n">
        <v>109</v>
      </c>
      <c r="E48" s="7" t="n">
        <v>5</v>
      </c>
      <c r="F48" s="7" t="s">
        <v>26</v>
      </c>
      <c r="G48" s="7" t="s">
        <v>33</v>
      </c>
      <c r="H48" s="7" t="s">
        <v>185</v>
      </c>
      <c r="I48" s="7" t="s">
        <v>186</v>
      </c>
    </row>
    <row r="49" customFormat="false" ht="15" hidden="false" customHeight="false" outlineLevel="0" collapsed="false">
      <c r="A49" s="7" t="n">
        <v>8</v>
      </c>
      <c r="B49" s="6" t="s">
        <v>100</v>
      </c>
      <c r="C49" s="7" t="s">
        <v>101</v>
      </c>
      <c r="D49" s="7" t="n">
        <v>109</v>
      </c>
      <c r="E49" s="7" t="n">
        <v>6</v>
      </c>
      <c r="F49" s="7" t="s">
        <v>27</v>
      </c>
      <c r="G49" s="7" t="s">
        <v>33</v>
      </c>
      <c r="H49" s="7" t="s">
        <v>185</v>
      </c>
      <c r="I49" s="7" t="s">
        <v>186</v>
      </c>
    </row>
    <row r="50" customFormat="false" ht="15" hidden="false" customHeight="false" outlineLevel="0" collapsed="false">
      <c r="A50" s="7" t="n">
        <v>9</v>
      </c>
      <c r="B50" s="6" t="s">
        <v>102</v>
      </c>
      <c r="C50" s="7" t="s">
        <v>103</v>
      </c>
      <c r="D50" s="7" t="n">
        <v>113</v>
      </c>
      <c r="E50" s="7" t="n">
        <v>1</v>
      </c>
      <c r="F50" s="7" t="s">
        <v>22</v>
      </c>
      <c r="G50" s="7" t="s">
        <v>30</v>
      </c>
      <c r="H50" s="7" t="s">
        <v>184</v>
      </c>
      <c r="I50" s="7" t="s">
        <v>185</v>
      </c>
    </row>
    <row r="51" customFormat="false" ht="15" hidden="false" customHeight="false" outlineLevel="0" collapsed="false">
      <c r="A51" s="7" t="n">
        <v>9</v>
      </c>
      <c r="B51" s="6" t="s">
        <v>102</v>
      </c>
      <c r="C51" s="7" t="s">
        <v>103</v>
      </c>
      <c r="D51" s="7" t="n">
        <v>113</v>
      </c>
      <c r="E51" s="7" t="n">
        <v>2</v>
      </c>
      <c r="F51" s="7" t="s">
        <v>23</v>
      </c>
      <c r="G51" s="7" t="s">
        <v>33</v>
      </c>
      <c r="H51" s="7" t="s">
        <v>185</v>
      </c>
      <c r="I51" s="7" t="s">
        <v>186</v>
      </c>
    </row>
    <row r="52" customFormat="false" ht="15" hidden="false" customHeight="false" outlineLevel="0" collapsed="false">
      <c r="A52" s="7" t="n">
        <v>9</v>
      </c>
      <c r="B52" s="6" t="s">
        <v>102</v>
      </c>
      <c r="C52" s="7" t="s">
        <v>103</v>
      </c>
      <c r="D52" s="7" t="n">
        <v>113</v>
      </c>
      <c r="E52" s="7" t="n">
        <v>3</v>
      </c>
      <c r="F52" s="7" t="s">
        <v>24</v>
      </c>
      <c r="G52" s="7" t="s">
        <v>30</v>
      </c>
      <c r="H52" s="7" t="s">
        <v>184</v>
      </c>
      <c r="I52" s="7" t="s">
        <v>185</v>
      </c>
    </row>
    <row r="53" customFormat="false" ht="15" hidden="false" customHeight="false" outlineLevel="0" collapsed="false">
      <c r="A53" s="7" t="n">
        <v>9</v>
      </c>
      <c r="B53" s="6" t="s">
        <v>102</v>
      </c>
      <c r="C53" s="7" t="s">
        <v>103</v>
      </c>
      <c r="D53" s="7" t="n">
        <v>113</v>
      </c>
      <c r="E53" s="7" t="n">
        <v>4</v>
      </c>
      <c r="F53" s="7" t="s">
        <v>25</v>
      </c>
      <c r="G53" s="7" t="s">
        <v>33</v>
      </c>
      <c r="H53" s="7" t="s">
        <v>185</v>
      </c>
      <c r="I53" s="7" t="s">
        <v>186</v>
      </c>
    </row>
    <row r="54" customFormat="false" ht="15" hidden="false" customHeight="false" outlineLevel="0" collapsed="false">
      <c r="A54" s="7" t="n">
        <v>9</v>
      </c>
      <c r="B54" s="6" t="s">
        <v>102</v>
      </c>
      <c r="C54" s="7" t="s">
        <v>103</v>
      </c>
      <c r="D54" s="7" t="n">
        <v>113</v>
      </c>
      <c r="E54" s="7" t="n">
        <v>5</v>
      </c>
      <c r="F54" s="7" t="s">
        <v>26</v>
      </c>
      <c r="G54" s="7" t="s">
        <v>30</v>
      </c>
      <c r="H54" s="7" t="s">
        <v>184</v>
      </c>
      <c r="I54" s="7" t="s">
        <v>185</v>
      </c>
    </row>
    <row r="55" customFormat="false" ht="15" hidden="false" customHeight="false" outlineLevel="0" collapsed="false">
      <c r="A55" s="7" t="n">
        <v>9</v>
      </c>
      <c r="B55" s="6" t="s">
        <v>102</v>
      </c>
      <c r="C55" s="7" t="s">
        <v>103</v>
      </c>
      <c r="D55" s="7" t="n">
        <v>113</v>
      </c>
      <c r="E55" s="7" t="n">
        <v>6</v>
      </c>
      <c r="F55" s="7" t="s">
        <v>27</v>
      </c>
      <c r="G55" s="7" t="s">
        <v>30</v>
      </c>
      <c r="H55" s="7" t="s">
        <v>184</v>
      </c>
      <c r="I55" s="7" t="s">
        <v>185</v>
      </c>
    </row>
    <row r="56" customFormat="false" ht="15" hidden="false" customHeight="false" outlineLevel="0" collapsed="false">
      <c r="A56" s="7" t="n">
        <v>10</v>
      </c>
      <c r="B56" s="6" t="s">
        <v>104</v>
      </c>
      <c r="C56" s="7" t="s">
        <v>105</v>
      </c>
      <c r="D56" s="7" t="n">
        <v>112</v>
      </c>
      <c r="E56" s="7" t="n">
        <v>1</v>
      </c>
      <c r="F56" s="7" t="s">
        <v>22</v>
      </c>
      <c r="G56" s="7" t="s">
        <v>33</v>
      </c>
      <c r="H56" s="7" t="s">
        <v>185</v>
      </c>
      <c r="I56" s="7" t="s">
        <v>186</v>
      </c>
    </row>
    <row r="57" customFormat="false" ht="15" hidden="false" customHeight="false" outlineLevel="0" collapsed="false">
      <c r="A57" s="7" t="n">
        <v>10</v>
      </c>
      <c r="B57" s="6" t="s">
        <v>104</v>
      </c>
      <c r="C57" s="7" t="s">
        <v>105</v>
      </c>
      <c r="D57" s="7" t="n">
        <v>112</v>
      </c>
      <c r="E57" s="7" t="n">
        <v>2</v>
      </c>
      <c r="F57" s="7" t="s">
        <v>23</v>
      </c>
      <c r="G57" s="7" t="s">
        <v>30</v>
      </c>
      <c r="H57" s="7" t="s">
        <v>184</v>
      </c>
      <c r="I57" s="7" t="s">
        <v>185</v>
      </c>
    </row>
    <row r="58" customFormat="false" ht="15" hidden="false" customHeight="false" outlineLevel="0" collapsed="false">
      <c r="A58" s="7" t="n">
        <v>10</v>
      </c>
      <c r="B58" s="6" t="s">
        <v>104</v>
      </c>
      <c r="C58" s="7" t="s">
        <v>105</v>
      </c>
      <c r="D58" s="7" t="n">
        <v>112</v>
      </c>
      <c r="E58" s="7" t="n">
        <v>3</v>
      </c>
      <c r="F58" s="7" t="s">
        <v>24</v>
      </c>
      <c r="G58" s="7" t="s">
        <v>33</v>
      </c>
      <c r="H58" s="7" t="s">
        <v>185</v>
      </c>
      <c r="I58" s="7" t="s">
        <v>186</v>
      </c>
    </row>
    <row r="59" customFormat="false" ht="15" hidden="false" customHeight="false" outlineLevel="0" collapsed="false">
      <c r="A59" s="7" t="n">
        <v>10</v>
      </c>
      <c r="B59" s="6" t="s">
        <v>104</v>
      </c>
      <c r="C59" s="7" t="s">
        <v>105</v>
      </c>
      <c r="D59" s="7" t="n">
        <v>112</v>
      </c>
      <c r="E59" s="7" t="n">
        <v>4</v>
      </c>
      <c r="F59" s="7" t="s">
        <v>25</v>
      </c>
      <c r="G59" s="7" t="s">
        <v>30</v>
      </c>
      <c r="H59" s="7" t="s">
        <v>184</v>
      </c>
      <c r="I59" s="7" t="s">
        <v>185</v>
      </c>
    </row>
    <row r="60" customFormat="false" ht="15" hidden="false" customHeight="false" outlineLevel="0" collapsed="false">
      <c r="A60" s="7" t="n">
        <v>10</v>
      </c>
      <c r="B60" s="6" t="s">
        <v>104</v>
      </c>
      <c r="C60" s="7" t="s">
        <v>105</v>
      </c>
      <c r="D60" s="7" t="n">
        <v>112</v>
      </c>
      <c r="E60" s="7" t="n">
        <v>5</v>
      </c>
      <c r="F60" s="7" t="s">
        <v>26</v>
      </c>
      <c r="G60" s="7" t="s">
        <v>33</v>
      </c>
      <c r="H60" s="7" t="s">
        <v>185</v>
      </c>
      <c r="I60" s="7" t="s">
        <v>186</v>
      </c>
    </row>
    <row r="61" customFormat="false" ht="15" hidden="false" customHeight="false" outlineLevel="0" collapsed="false">
      <c r="A61" s="7" t="n">
        <v>10</v>
      </c>
      <c r="B61" s="6" t="s">
        <v>104</v>
      </c>
      <c r="C61" s="7" t="s">
        <v>105</v>
      </c>
      <c r="D61" s="7" t="n">
        <v>112</v>
      </c>
      <c r="E61" s="7" t="n">
        <v>6</v>
      </c>
      <c r="F61" s="7" t="s">
        <v>27</v>
      </c>
      <c r="G61" s="7" t="s">
        <v>33</v>
      </c>
      <c r="H61" s="7" t="s">
        <v>185</v>
      </c>
      <c r="I61" s="7" t="s">
        <v>186</v>
      </c>
    </row>
    <row r="62" customFormat="false" ht="15" hidden="false" customHeight="false" outlineLevel="0" collapsed="false">
      <c r="A62" s="7" t="n">
        <v>11</v>
      </c>
      <c r="B62" s="6" t="s">
        <v>106</v>
      </c>
      <c r="C62" s="7" t="s">
        <v>107</v>
      </c>
      <c r="D62" s="7" t="n">
        <v>106</v>
      </c>
      <c r="E62" s="7" t="n">
        <v>1</v>
      </c>
      <c r="F62" s="7" t="s">
        <v>22</v>
      </c>
      <c r="G62" s="7" t="s">
        <v>33</v>
      </c>
      <c r="H62" s="7" t="s">
        <v>185</v>
      </c>
      <c r="I62" s="7" t="s">
        <v>186</v>
      </c>
    </row>
    <row r="63" customFormat="false" ht="15" hidden="false" customHeight="false" outlineLevel="0" collapsed="false">
      <c r="A63" s="7" t="n">
        <v>11</v>
      </c>
      <c r="B63" s="6" t="s">
        <v>106</v>
      </c>
      <c r="C63" s="7" t="s">
        <v>107</v>
      </c>
      <c r="D63" s="7" t="n">
        <v>106</v>
      </c>
      <c r="E63" s="7" t="n">
        <v>2</v>
      </c>
      <c r="F63" s="7" t="s">
        <v>23</v>
      </c>
      <c r="G63" s="7" t="s">
        <v>30</v>
      </c>
      <c r="H63" s="7" t="s">
        <v>184</v>
      </c>
      <c r="I63" s="7" t="s">
        <v>185</v>
      </c>
    </row>
    <row r="64" customFormat="false" ht="15" hidden="false" customHeight="false" outlineLevel="0" collapsed="false">
      <c r="A64" s="7" t="n">
        <v>11</v>
      </c>
      <c r="B64" s="6" t="s">
        <v>106</v>
      </c>
      <c r="C64" s="7" t="s">
        <v>107</v>
      </c>
      <c r="D64" s="7" t="n">
        <v>106</v>
      </c>
      <c r="E64" s="7" t="n">
        <v>3</v>
      </c>
      <c r="F64" s="7" t="s">
        <v>24</v>
      </c>
      <c r="G64" s="7" t="s">
        <v>33</v>
      </c>
      <c r="H64" s="7" t="s">
        <v>185</v>
      </c>
      <c r="I64" s="7" t="s">
        <v>186</v>
      </c>
    </row>
    <row r="65" customFormat="false" ht="15" hidden="false" customHeight="false" outlineLevel="0" collapsed="false">
      <c r="A65" s="7" t="n">
        <v>11</v>
      </c>
      <c r="B65" s="6" t="s">
        <v>106</v>
      </c>
      <c r="C65" s="7" t="s">
        <v>107</v>
      </c>
      <c r="D65" s="7" t="n">
        <v>106</v>
      </c>
      <c r="E65" s="7" t="n">
        <v>4</v>
      </c>
      <c r="F65" s="7" t="s">
        <v>25</v>
      </c>
      <c r="G65" s="7" t="s">
        <v>30</v>
      </c>
      <c r="H65" s="7" t="s">
        <v>184</v>
      </c>
      <c r="I65" s="7" t="s">
        <v>185</v>
      </c>
    </row>
    <row r="66" customFormat="false" ht="15" hidden="false" customHeight="false" outlineLevel="0" collapsed="false">
      <c r="A66" s="7" t="n">
        <v>11</v>
      </c>
      <c r="B66" s="6" t="s">
        <v>106</v>
      </c>
      <c r="C66" s="7" t="s">
        <v>107</v>
      </c>
      <c r="D66" s="7" t="n">
        <v>106</v>
      </c>
      <c r="E66" s="7" t="n">
        <v>5</v>
      </c>
      <c r="F66" s="7" t="s">
        <v>26</v>
      </c>
      <c r="G66" s="7" t="s">
        <v>33</v>
      </c>
      <c r="H66" s="7" t="s">
        <v>185</v>
      </c>
      <c r="I66" s="7" t="s">
        <v>186</v>
      </c>
    </row>
    <row r="67" customFormat="false" ht="15" hidden="false" customHeight="false" outlineLevel="0" collapsed="false">
      <c r="A67" s="7" t="n">
        <v>11</v>
      </c>
      <c r="B67" s="6" t="s">
        <v>106</v>
      </c>
      <c r="C67" s="7" t="s">
        <v>107</v>
      </c>
      <c r="D67" s="7" t="n">
        <v>106</v>
      </c>
      <c r="E67" s="7" t="n">
        <v>6</v>
      </c>
      <c r="F67" s="7" t="s">
        <v>27</v>
      </c>
      <c r="G67" s="7" t="s">
        <v>30</v>
      </c>
      <c r="H67" s="7" t="s">
        <v>184</v>
      </c>
      <c r="I67" s="7" t="s">
        <v>185</v>
      </c>
    </row>
    <row r="68" customFormat="false" ht="15" hidden="false" customHeight="false" outlineLevel="0" collapsed="false">
      <c r="A68" s="7" t="n">
        <v>12</v>
      </c>
      <c r="B68" s="6" t="s">
        <v>108</v>
      </c>
      <c r="C68" s="7" t="s">
        <v>107</v>
      </c>
      <c r="D68" s="7" t="n">
        <v>107</v>
      </c>
      <c r="E68" s="7" t="n">
        <v>1</v>
      </c>
      <c r="F68" s="7" t="s">
        <v>22</v>
      </c>
      <c r="G68" s="7" t="s">
        <v>30</v>
      </c>
      <c r="H68" s="7" t="s">
        <v>184</v>
      </c>
      <c r="I68" s="7" t="s">
        <v>185</v>
      </c>
    </row>
    <row r="69" customFormat="false" ht="15" hidden="false" customHeight="false" outlineLevel="0" collapsed="false">
      <c r="A69" s="7" t="n">
        <v>12</v>
      </c>
      <c r="B69" s="6" t="s">
        <v>108</v>
      </c>
      <c r="C69" s="7" t="s">
        <v>107</v>
      </c>
      <c r="D69" s="7" t="n">
        <v>107</v>
      </c>
      <c r="E69" s="7" t="n">
        <v>2</v>
      </c>
      <c r="F69" s="7" t="s">
        <v>23</v>
      </c>
      <c r="G69" s="7" t="s">
        <v>33</v>
      </c>
      <c r="H69" s="7" t="s">
        <v>185</v>
      </c>
      <c r="I69" s="7" t="s">
        <v>186</v>
      </c>
    </row>
    <row r="70" customFormat="false" ht="15" hidden="false" customHeight="false" outlineLevel="0" collapsed="false">
      <c r="A70" s="7" t="n">
        <v>12</v>
      </c>
      <c r="B70" s="6" t="s">
        <v>108</v>
      </c>
      <c r="C70" s="7" t="s">
        <v>107</v>
      </c>
      <c r="D70" s="7" t="n">
        <v>107</v>
      </c>
      <c r="E70" s="7" t="n">
        <v>3</v>
      </c>
      <c r="F70" s="7" t="s">
        <v>24</v>
      </c>
      <c r="G70" s="7" t="s">
        <v>30</v>
      </c>
      <c r="H70" s="7" t="s">
        <v>184</v>
      </c>
      <c r="I70" s="7" t="s">
        <v>185</v>
      </c>
    </row>
    <row r="71" customFormat="false" ht="15" hidden="false" customHeight="false" outlineLevel="0" collapsed="false">
      <c r="A71" s="7" t="n">
        <v>12</v>
      </c>
      <c r="B71" s="6" t="s">
        <v>108</v>
      </c>
      <c r="C71" s="7" t="s">
        <v>107</v>
      </c>
      <c r="D71" s="7" t="n">
        <v>107</v>
      </c>
      <c r="E71" s="7" t="n">
        <v>4</v>
      </c>
      <c r="F71" s="7" t="s">
        <v>25</v>
      </c>
      <c r="G71" s="7" t="s">
        <v>33</v>
      </c>
      <c r="H71" s="7" t="s">
        <v>185</v>
      </c>
      <c r="I71" s="7" t="s">
        <v>186</v>
      </c>
    </row>
    <row r="72" customFormat="false" ht="15" hidden="false" customHeight="false" outlineLevel="0" collapsed="false">
      <c r="A72" s="7" t="n">
        <v>12</v>
      </c>
      <c r="B72" s="6" t="s">
        <v>108</v>
      </c>
      <c r="C72" s="7" t="s">
        <v>107</v>
      </c>
      <c r="D72" s="7" t="n">
        <v>107</v>
      </c>
      <c r="E72" s="7" t="n">
        <v>5</v>
      </c>
      <c r="F72" s="7" t="s">
        <v>26</v>
      </c>
      <c r="G72" s="7" t="s">
        <v>30</v>
      </c>
      <c r="H72" s="7" t="s">
        <v>184</v>
      </c>
      <c r="I72" s="7" t="s">
        <v>185</v>
      </c>
    </row>
    <row r="73" customFormat="false" ht="15" hidden="false" customHeight="false" outlineLevel="0" collapsed="false">
      <c r="A73" s="7" t="n">
        <v>12</v>
      </c>
      <c r="B73" s="6" t="s">
        <v>108</v>
      </c>
      <c r="C73" s="7" t="s">
        <v>107</v>
      </c>
      <c r="D73" s="7" t="n">
        <v>107</v>
      </c>
      <c r="E73" s="7" t="n">
        <v>6</v>
      </c>
      <c r="F73" s="7" t="s">
        <v>27</v>
      </c>
      <c r="G73" s="7" t="s">
        <v>33</v>
      </c>
      <c r="H73" s="7" t="s">
        <v>185</v>
      </c>
      <c r="I73" s="7" t="s">
        <v>186</v>
      </c>
    </row>
    <row r="74" customFormat="false" ht="15" hidden="false" customHeight="false" outlineLevel="0" collapsed="false">
      <c r="A74" s="7" t="n">
        <v>13</v>
      </c>
      <c r="B74" s="6" t="s">
        <v>109</v>
      </c>
      <c r="C74" s="7" t="s">
        <v>110</v>
      </c>
      <c r="D74" s="7" t="n">
        <v>110</v>
      </c>
      <c r="E74" s="7" t="n">
        <v>1</v>
      </c>
      <c r="F74" s="7" t="s">
        <v>22</v>
      </c>
      <c r="G74" s="7" t="s">
        <v>30</v>
      </c>
      <c r="H74" s="7" t="s">
        <v>184</v>
      </c>
      <c r="I74" s="7" t="s">
        <v>185</v>
      </c>
    </row>
    <row r="75" customFormat="false" ht="15" hidden="false" customHeight="false" outlineLevel="0" collapsed="false">
      <c r="A75" s="7" t="n">
        <v>13</v>
      </c>
      <c r="B75" s="6" t="s">
        <v>109</v>
      </c>
      <c r="C75" s="7" t="s">
        <v>110</v>
      </c>
      <c r="D75" s="7" t="n">
        <v>110</v>
      </c>
      <c r="E75" s="7" t="n">
        <v>2</v>
      </c>
      <c r="F75" s="7" t="s">
        <v>23</v>
      </c>
      <c r="G75" s="7" t="s">
        <v>33</v>
      </c>
      <c r="H75" s="7" t="s">
        <v>185</v>
      </c>
      <c r="I75" s="7" t="s">
        <v>186</v>
      </c>
    </row>
    <row r="76" customFormat="false" ht="15" hidden="false" customHeight="false" outlineLevel="0" collapsed="false">
      <c r="A76" s="7" t="n">
        <v>13</v>
      </c>
      <c r="B76" s="6" t="s">
        <v>109</v>
      </c>
      <c r="C76" s="7" t="s">
        <v>110</v>
      </c>
      <c r="D76" s="7" t="n">
        <v>110</v>
      </c>
      <c r="E76" s="7" t="n">
        <v>3</v>
      </c>
      <c r="F76" s="7" t="s">
        <v>24</v>
      </c>
      <c r="G76" s="7" t="s">
        <v>30</v>
      </c>
      <c r="H76" s="7" t="s">
        <v>184</v>
      </c>
      <c r="I76" s="7" t="s">
        <v>185</v>
      </c>
    </row>
    <row r="77" customFormat="false" ht="15" hidden="false" customHeight="false" outlineLevel="0" collapsed="false">
      <c r="A77" s="7" t="n">
        <v>13</v>
      </c>
      <c r="B77" s="6" t="s">
        <v>109</v>
      </c>
      <c r="C77" s="7" t="s">
        <v>110</v>
      </c>
      <c r="D77" s="7" t="n">
        <v>110</v>
      </c>
      <c r="E77" s="7" t="n">
        <v>4</v>
      </c>
      <c r="F77" s="7" t="s">
        <v>25</v>
      </c>
      <c r="G77" s="7" t="s">
        <v>33</v>
      </c>
      <c r="H77" s="7" t="s">
        <v>185</v>
      </c>
      <c r="I77" s="7" t="s">
        <v>186</v>
      </c>
    </row>
    <row r="78" customFormat="false" ht="15" hidden="false" customHeight="false" outlineLevel="0" collapsed="false">
      <c r="A78" s="7" t="n">
        <v>13</v>
      </c>
      <c r="B78" s="6" t="s">
        <v>109</v>
      </c>
      <c r="C78" s="7" t="s">
        <v>110</v>
      </c>
      <c r="D78" s="7" t="n">
        <v>110</v>
      </c>
      <c r="E78" s="7" t="n">
        <v>5</v>
      </c>
      <c r="F78" s="7" t="s">
        <v>26</v>
      </c>
      <c r="G78" s="7" t="s">
        <v>30</v>
      </c>
      <c r="H78" s="7" t="s">
        <v>184</v>
      </c>
      <c r="I78" s="7" t="s">
        <v>185</v>
      </c>
    </row>
    <row r="79" customFormat="false" ht="15" hidden="false" customHeight="false" outlineLevel="0" collapsed="false">
      <c r="A79" s="7" t="n">
        <v>13</v>
      </c>
      <c r="B79" s="6" t="s">
        <v>109</v>
      </c>
      <c r="C79" s="7" t="s">
        <v>110</v>
      </c>
      <c r="D79" s="7" t="n">
        <v>110</v>
      </c>
      <c r="E79" s="7" t="n">
        <v>6</v>
      </c>
      <c r="F79" s="7" t="s">
        <v>27</v>
      </c>
      <c r="G79" s="7" t="s">
        <v>30</v>
      </c>
      <c r="H79" s="7" t="s">
        <v>184</v>
      </c>
      <c r="I79" s="7" t="s">
        <v>185</v>
      </c>
    </row>
    <row r="80" customFormat="false" ht="15" hidden="false" customHeight="false" outlineLevel="0" collapsed="false">
      <c r="A80" s="7" t="n">
        <v>14</v>
      </c>
      <c r="B80" s="6" t="s">
        <v>111</v>
      </c>
      <c r="C80" s="7" t="s">
        <v>112</v>
      </c>
      <c r="D80" s="7" t="n">
        <v>201</v>
      </c>
      <c r="E80" s="7" t="n">
        <v>1</v>
      </c>
      <c r="F80" s="7" t="s">
        <v>22</v>
      </c>
      <c r="G80" s="7" t="s">
        <v>30</v>
      </c>
      <c r="H80" s="7" t="s">
        <v>184</v>
      </c>
      <c r="I80" s="7" t="s">
        <v>185</v>
      </c>
    </row>
    <row r="81" customFormat="false" ht="15" hidden="false" customHeight="false" outlineLevel="0" collapsed="false">
      <c r="A81" s="7" t="n">
        <v>14</v>
      </c>
      <c r="B81" s="6" t="s">
        <v>111</v>
      </c>
      <c r="C81" s="7" t="s">
        <v>112</v>
      </c>
      <c r="D81" s="7" t="n">
        <v>201</v>
      </c>
      <c r="E81" s="7" t="n">
        <v>2</v>
      </c>
      <c r="F81" s="7" t="s">
        <v>23</v>
      </c>
      <c r="G81" s="7" t="s">
        <v>33</v>
      </c>
      <c r="H81" s="7" t="s">
        <v>185</v>
      </c>
      <c r="I81" s="7" t="s">
        <v>186</v>
      </c>
    </row>
    <row r="82" customFormat="false" ht="15" hidden="false" customHeight="false" outlineLevel="0" collapsed="false">
      <c r="A82" s="7" t="n">
        <v>14</v>
      </c>
      <c r="B82" s="6" t="s">
        <v>111</v>
      </c>
      <c r="C82" s="7" t="s">
        <v>112</v>
      </c>
      <c r="D82" s="7" t="n">
        <v>201</v>
      </c>
      <c r="E82" s="7" t="n">
        <v>3</v>
      </c>
      <c r="F82" s="7" t="s">
        <v>24</v>
      </c>
      <c r="G82" s="7" t="s">
        <v>30</v>
      </c>
      <c r="H82" s="7" t="s">
        <v>184</v>
      </c>
      <c r="I82" s="7" t="s">
        <v>185</v>
      </c>
    </row>
    <row r="83" customFormat="false" ht="15" hidden="false" customHeight="false" outlineLevel="0" collapsed="false">
      <c r="A83" s="7" t="n">
        <v>14</v>
      </c>
      <c r="B83" s="6" t="s">
        <v>111</v>
      </c>
      <c r="C83" s="7" t="s">
        <v>112</v>
      </c>
      <c r="D83" s="7" t="n">
        <v>201</v>
      </c>
      <c r="E83" s="7" t="n">
        <v>4</v>
      </c>
      <c r="F83" s="7" t="s">
        <v>25</v>
      </c>
      <c r="G83" s="7" t="s">
        <v>33</v>
      </c>
      <c r="H83" s="7" t="s">
        <v>185</v>
      </c>
      <c r="I83" s="7" t="s">
        <v>186</v>
      </c>
    </row>
    <row r="84" customFormat="false" ht="15" hidden="false" customHeight="false" outlineLevel="0" collapsed="false">
      <c r="A84" s="7" t="n">
        <v>14</v>
      </c>
      <c r="B84" s="6" t="s">
        <v>111</v>
      </c>
      <c r="C84" s="7" t="s">
        <v>112</v>
      </c>
      <c r="D84" s="7" t="n">
        <v>201</v>
      </c>
      <c r="E84" s="7" t="n">
        <v>5</v>
      </c>
      <c r="F84" s="7" t="s">
        <v>26</v>
      </c>
      <c r="G84" s="7" t="s">
        <v>30</v>
      </c>
      <c r="H84" s="7" t="s">
        <v>184</v>
      </c>
      <c r="I84" s="7" t="s">
        <v>185</v>
      </c>
    </row>
    <row r="85" customFormat="false" ht="15" hidden="false" customHeight="false" outlineLevel="0" collapsed="false">
      <c r="A85" s="7" t="n">
        <v>14</v>
      </c>
      <c r="B85" s="6" t="s">
        <v>111</v>
      </c>
      <c r="C85" s="7" t="s">
        <v>112</v>
      </c>
      <c r="D85" s="7" t="n">
        <v>201</v>
      </c>
      <c r="E85" s="7" t="n">
        <v>6</v>
      </c>
      <c r="F85" s="7" t="s">
        <v>27</v>
      </c>
      <c r="G85" s="7" t="s">
        <v>30</v>
      </c>
      <c r="H85" s="7" t="s">
        <v>184</v>
      </c>
      <c r="I85" s="7" t="s">
        <v>185</v>
      </c>
    </row>
    <row r="86" customFormat="false" ht="15" hidden="false" customHeight="false" outlineLevel="0" collapsed="false">
      <c r="A86" s="7" t="n">
        <v>15</v>
      </c>
      <c r="B86" s="6" t="s">
        <v>113</v>
      </c>
      <c r="C86" s="7" t="s">
        <v>112</v>
      </c>
      <c r="D86" s="7" t="n">
        <v>201</v>
      </c>
      <c r="E86" s="7" t="n">
        <v>1</v>
      </c>
      <c r="F86" s="7" t="s">
        <v>22</v>
      </c>
      <c r="G86" s="7" t="s">
        <v>33</v>
      </c>
      <c r="H86" s="7" t="s">
        <v>185</v>
      </c>
      <c r="I86" s="7" t="s">
        <v>186</v>
      </c>
    </row>
    <row r="87" customFormat="false" ht="15" hidden="false" customHeight="false" outlineLevel="0" collapsed="false">
      <c r="A87" s="7" t="n">
        <v>15</v>
      </c>
      <c r="B87" s="6" t="s">
        <v>113</v>
      </c>
      <c r="C87" s="7" t="s">
        <v>112</v>
      </c>
      <c r="D87" s="7" t="n">
        <v>201</v>
      </c>
      <c r="E87" s="7" t="n">
        <v>2</v>
      </c>
      <c r="F87" s="7" t="s">
        <v>23</v>
      </c>
      <c r="G87" s="7" t="s">
        <v>30</v>
      </c>
      <c r="H87" s="7" t="s">
        <v>184</v>
      </c>
      <c r="I87" s="7" t="s">
        <v>185</v>
      </c>
    </row>
    <row r="88" customFormat="false" ht="15" hidden="false" customHeight="false" outlineLevel="0" collapsed="false">
      <c r="A88" s="7" t="n">
        <v>15</v>
      </c>
      <c r="B88" s="6" t="s">
        <v>113</v>
      </c>
      <c r="C88" s="7" t="s">
        <v>112</v>
      </c>
      <c r="D88" s="7" t="n">
        <v>201</v>
      </c>
      <c r="E88" s="7" t="n">
        <v>3</v>
      </c>
      <c r="F88" s="7" t="s">
        <v>24</v>
      </c>
      <c r="G88" s="7" t="s">
        <v>33</v>
      </c>
      <c r="H88" s="7" t="s">
        <v>185</v>
      </c>
      <c r="I88" s="7" t="s">
        <v>186</v>
      </c>
    </row>
    <row r="89" customFormat="false" ht="15" hidden="false" customHeight="false" outlineLevel="0" collapsed="false">
      <c r="A89" s="7" t="n">
        <v>15</v>
      </c>
      <c r="B89" s="6" t="s">
        <v>113</v>
      </c>
      <c r="C89" s="7" t="s">
        <v>112</v>
      </c>
      <c r="D89" s="7" t="n">
        <v>201</v>
      </c>
      <c r="E89" s="7" t="n">
        <v>4</v>
      </c>
      <c r="F89" s="7" t="s">
        <v>25</v>
      </c>
      <c r="G89" s="7" t="s">
        <v>30</v>
      </c>
      <c r="H89" s="7" t="s">
        <v>184</v>
      </c>
      <c r="I89" s="7" t="s">
        <v>185</v>
      </c>
    </row>
    <row r="90" customFormat="false" ht="15" hidden="false" customHeight="false" outlineLevel="0" collapsed="false">
      <c r="A90" s="7" t="n">
        <v>15</v>
      </c>
      <c r="B90" s="6" t="s">
        <v>113</v>
      </c>
      <c r="C90" s="7" t="s">
        <v>112</v>
      </c>
      <c r="D90" s="7" t="n">
        <v>201</v>
      </c>
      <c r="E90" s="7" t="n">
        <v>5</v>
      </c>
      <c r="F90" s="7" t="s">
        <v>26</v>
      </c>
      <c r="G90" s="7" t="s">
        <v>33</v>
      </c>
      <c r="H90" s="7" t="s">
        <v>185</v>
      </c>
      <c r="I90" s="7" t="s">
        <v>186</v>
      </c>
    </row>
    <row r="91" customFormat="false" ht="15" hidden="false" customHeight="false" outlineLevel="0" collapsed="false">
      <c r="A91" s="7" t="n">
        <v>15</v>
      </c>
      <c r="B91" s="6" t="s">
        <v>113</v>
      </c>
      <c r="C91" s="7" t="s">
        <v>112</v>
      </c>
      <c r="D91" s="7" t="n">
        <v>201</v>
      </c>
      <c r="E91" s="7" t="n">
        <v>7</v>
      </c>
      <c r="F91" s="7" t="s">
        <v>28</v>
      </c>
      <c r="G91" s="7" t="s">
        <v>30</v>
      </c>
      <c r="H91" s="7" t="s">
        <v>184</v>
      </c>
      <c r="I91" s="7" t="s">
        <v>185</v>
      </c>
    </row>
    <row r="92" customFormat="false" ht="15" hidden="false" customHeight="false" outlineLevel="0" collapsed="false">
      <c r="A92" s="7" t="n">
        <v>16</v>
      </c>
      <c r="B92" s="6" t="s">
        <v>114</v>
      </c>
      <c r="C92" s="7" t="s">
        <v>112</v>
      </c>
      <c r="D92" s="7" t="n">
        <v>202</v>
      </c>
      <c r="E92" s="7" t="n">
        <v>1</v>
      </c>
      <c r="F92" s="7" t="s">
        <v>22</v>
      </c>
      <c r="G92" s="7" t="s">
        <v>30</v>
      </c>
      <c r="H92" s="7" t="s">
        <v>184</v>
      </c>
      <c r="I92" s="7" t="s">
        <v>185</v>
      </c>
    </row>
    <row r="93" customFormat="false" ht="15" hidden="false" customHeight="false" outlineLevel="0" collapsed="false">
      <c r="A93" s="7" t="n">
        <v>16</v>
      </c>
      <c r="B93" s="6" t="s">
        <v>114</v>
      </c>
      <c r="C93" s="7" t="s">
        <v>112</v>
      </c>
      <c r="D93" s="7" t="n">
        <v>202</v>
      </c>
      <c r="E93" s="7" t="n">
        <v>2</v>
      </c>
      <c r="F93" s="7" t="s">
        <v>23</v>
      </c>
      <c r="G93" s="7" t="s">
        <v>33</v>
      </c>
      <c r="H93" s="7" t="s">
        <v>185</v>
      </c>
      <c r="I93" s="7" t="s">
        <v>186</v>
      </c>
    </row>
    <row r="94" customFormat="false" ht="15" hidden="false" customHeight="false" outlineLevel="0" collapsed="false">
      <c r="A94" s="7" t="n">
        <v>16</v>
      </c>
      <c r="B94" s="6" t="s">
        <v>114</v>
      </c>
      <c r="C94" s="7" t="s">
        <v>112</v>
      </c>
      <c r="D94" s="7" t="n">
        <v>202</v>
      </c>
      <c r="E94" s="7" t="n">
        <v>3</v>
      </c>
      <c r="F94" s="7" t="s">
        <v>24</v>
      </c>
      <c r="G94" s="7" t="s">
        <v>30</v>
      </c>
      <c r="H94" s="7" t="s">
        <v>184</v>
      </c>
      <c r="I94" s="7" t="s">
        <v>185</v>
      </c>
    </row>
    <row r="95" customFormat="false" ht="15" hidden="false" customHeight="false" outlineLevel="0" collapsed="false">
      <c r="A95" s="7" t="n">
        <v>16</v>
      </c>
      <c r="B95" s="6" t="s">
        <v>114</v>
      </c>
      <c r="C95" s="7" t="s">
        <v>112</v>
      </c>
      <c r="D95" s="7" t="n">
        <v>202</v>
      </c>
      <c r="E95" s="7" t="n">
        <v>4</v>
      </c>
      <c r="F95" s="7" t="s">
        <v>25</v>
      </c>
      <c r="G95" s="7" t="s">
        <v>33</v>
      </c>
      <c r="H95" s="7" t="s">
        <v>185</v>
      </c>
      <c r="I95" s="7" t="s">
        <v>186</v>
      </c>
    </row>
    <row r="96" customFormat="false" ht="15" hidden="false" customHeight="false" outlineLevel="0" collapsed="false">
      <c r="A96" s="7" t="n">
        <v>16</v>
      </c>
      <c r="B96" s="6" t="s">
        <v>114</v>
      </c>
      <c r="C96" s="7" t="s">
        <v>112</v>
      </c>
      <c r="D96" s="7" t="n">
        <v>202</v>
      </c>
      <c r="E96" s="7" t="n">
        <v>5</v>
      </c>
      <c r="F96" s="7" t="s">
        <v>26</v>
      </c>
      <c r="G96" s="7" t="s">
        <v>30</v>
      </c>
      <c r="H96" s="7" t="s">
        <v>184</v>
      </c>
      <c r="I96" s="7" t="s">
        <v>185</v>
      </c>
    </row>
    <row r="97" customFormat="false" ht="15" hidden="false" customHeight="false" outlineLevel="0" collapsed="false">
      <c r="A97" s="7" t="n">
        <v>16</v>
      </c>
      <c r="B97" s="6" t="s">
        <v>114</v>
      </c>
      <c r="C97" s="7" t="s">
        <v>112</v>
      </c>
      <c r="D97" s="7" t="n">
        <v>202</v>
      </c>
      <c r="E97" s="7" t="n">
        <v>6</v>
      </c>
      <c r="F97" s="7" t="s">
        <v>27</v>
      </c>
      <c r="G97" s="7" t="s">
        <v>33</v>
      </c>
      <c r="H97" s="7" t="s">
        <v>185</v>
      </c>
      <c r="I97" s="7" t="s">
        <v>186</v>
      </c>
    </row>
    <row r="98" customFormat="false" ht="15" hidden="false" customHeight="false" outlineLevel="0" collapsed="false">
      <c r="A98" s="7" t="n">
        <v>17</v>
      </c>
      <c r="B98" s="6" t="s">
        <v>115</v>
      </c>
      <c r="C98" s="7" t="s">
        <v>112</v>
      </c>
      <c r="D98" s="7" t="n">
        <v>202</v>
      </c>
      <c r="E98" s="7" t="n">
        <v>1</v>
      </c>
      <c r="F98" s="7" t="s">
        <v>22</v>
      </c>
      <c r="G98" s="7" t="s">
        <v>33</v>
      </c>
      <c r="H98" s="7" t="s">
        <v>185</v>
      </c>
      <c r="I98" s="7" t="s">
        <v>186</v>
      </c>
    </row>
    <row r="99" customFormat="false" ht="15" hidden="false" customHeight="false" outlineLevel="0" collapsed="false">
      <c r="A99" s="7" t="n">
        <v>17</v>
      </c>
      <c r="B99" s="6" t="s">
        <v>115</v>
      </c>
      <c r="C99" s="7" t="s">
        <v>112</v>
      </c>
      <c r="D99" s="7" t="n">
        <v>202</v>
      </c>
      <c r="E99" s="7" t="n">
        <v>2</v>
      </c>
      <c r="F99" s="7" t="s">
        <v>23</v>
      </c>
      <c r="G99" s="7" t="s">
        <v>30</v>
      </c>
      <c r="H99" s="7" t="s">
        <v>184</v>
      </c>
      <c r="I99" s="7" t="s">
        <v>185</v>
      </c>
    </row>
    <row r="100" customFormat="false" ht="15" hidden="false" customHeight="false" outlineLevel="0" collapsed="false">
      <c r="A100" s="7" t="n">
        <v>17</v>
      </c>
      <c r="B100" s="6" t="s">
        <v>115</v>
      </c>
      <c r="C100" s="7" t="s">
        <v>112</v>
      </c>
      <c r="D100" s="7" t="n">
        <v>202</v>
      </c>
      <c r="E100" s="7" t="n">
        <v>3</v>
      </c>
      <c r="F100" s="7" t="s">
        <v>24</v>
      </c>
      <c r="G100" s="7" t="s">
        <v>33</v>
      </c>
      <c r="H100" s="7" t="s">
        <v>185</v>
      </c>
      <c r="I100" s="7" t="s">
        <v>186</v>
      </c>
    </row>
    <row r="101" customFormat="false" ht="15" hidden="false" customHeight="false" outlineLevel="0" collapsed="false">
      <c r="A101" s="7" t="n">
        <v>17</v>
      </c>
      <c r="B101" s="6" t="s">
        <v>115</v>
      </c>
      <c r="C101" s="7" t="s">
        <v>112</v>
      </c>
      <c r="D101" s="7" t="n">
        <v>202</v>
      </c>
      <c r="E101" s="7" t="n">
        <v>4</v>
      </c>
      <c r="F101" s="7" t="s">
        <v>25</v>
      </c>
      <c r="G101" s="7" t="s">
        <v>30</v>
      </c>
      <c r="H101" s="7" t="s">
        <v>184</v>
      </c>
      <c r="I101" s="7" t="s">
        <v>185</v>
      </c>
    </row>
    <row r="102" customFormat="false" ht="15" hidden="false" customHeight="false" outlineLevel="0" collapsed="false">
      <c r="A102" s="7" t="n">
        <v>17</v>
      </c>
      <c r="B102" s="6" t="s">
        <v>115</v>
      </c>
      <c r="C102" s="7" t="s">
        <v>112</v>
      </c>
      <c r="D102" s="7" t="n">
        <v>202</v>
      </c>
      <c r="E102" s="7" t="n">
        <v>5</v>
      </c>
      <c r="F102" s="7" t="s">
        <v>26</v>
      </c>
      <c r="G102" s="7" t="s">
        <v>33</v>
      </c>
      <c r="H102" s="7" t="s">
        <v>185</v>
      </c>
      <c r="I102" s="7" t="s">
        <v>186</v>
      </c>
    </row>
    <row r="103" customFormat="false" ht="15" hidden="false" customHeight="false" outlineLevel="0" collapsed="false">
      <c r="A103" s="7" t="n">
        <v>17</v>
      </c>
      <c r="B103" s="6" t="s">
        <v>115</v>
      </c>
      <c r="C103" s="7" t="s">
        <v>112</v>
      </c>
      <c r="D103" s="7" t="n">
        <v>202</v>
      </c>
      <c r="E103" s="7" t="n">
        <v>7</v>
      </c>
      <c r="F103" s="7" t="s">
        <v>28</v>
      </c>
      <c r="G103" s="7" t="s">
        <v>33</v>
      </c>
      <c r="H103" s="7" t="s">
        <v>185</v>
      </c>
      <c r="I103" s="7" t="s">
        <v>186</v>
      </c>
    </row>
    <row r="104" customFormat="false" ht="15" hidden="false" customHeight="false" outlineLevel="0" collapsed="false">
      <c r="A104" s="7" t="n">
        <v>18</v>
      </c>
      <c r="B104" s="6" t="s">
        <v>116</v>
      </c>
      <c r="C104" s="7" t="s">
        <v>112</v>
      </c>
      <c r="D104" s="7" t="n">
        <v>203</v>
      </c>
      <c r="E104" s="7" t="n">
        <v>1</v>
      </c>
      <c r="F104" s="7" t="s">
        <v>22</v>
      </c>
      <c r="G104" s="7" t="s">
        <v>33</v>
      </c>
      <c r="H104" s="7" t="s">
        <v>185</v>
      </c>
      <c r="I104" s="7" t="s">
        <v>186</v>
      </c>
    </row>
    <row r="105" customFormat="false" ht="15" hidden="false" customHeight="false" outlineLevel="0" collapsed="false">
      <c r="A105" s="7" t="n">
        <v>18</v>
      </c>
      <c r="B105" s="6" t="s">
        <v>116</v>
      </c>
      <c r="C105" s="7" t="s">
        <v>112</v>
      </c>
      <c r="D105" s="7" t="n">
        <v>203</v>
      </c>
      <c r="E105" s="7" t="n">
        <v>2</v>
      </c>
      <c r="F105" s="7" t="s">
        <v>23</v>
      </c>
      <c r="G105" s="7" t="s">
        <v>30</v>
      </c>
      <c r="H105" s="7" t="s">
        <v>184</v>
      </c>
      <c r="I105" s="7" t="s">
        <v>185</v>
      </c>
    </row>
    <row r="106" customFormat="false" ht="15" hidden="false" customHeight="false" outlineLevel="0" collapsed="false">
      <c r="A106" s="7" t="n">
        <v>18</v>
      </c>
      <c r="B106" s="6" t="s">
        <v>116</v>
      </c>
      <c r="C106" s="7" t="s">
        <v>112</v>
      </c>
      <c r="D106" s="7" t="n">
        <v>203</v>
      </c>
      <c r="E106" s="7" t="n">
        <v>3</v>
      </c>
      <c r="F106" s="7" t="s">
        <v>24</v>
      </c>
      <c r="G106" s="7" t="s">
        <v>33</v>
      </c>
      <c r="H106" s="7" t="s">
        <v>185</v>
      </c>
      <c r="I106" s="7" t="s">
        <v>186</v>
      </c>
    </row>
    <row r="107" customFormat="false" ht="15" hidden="false" customHeight="false" outlineLevel="0" collapsed="false">
      <c r="A107" s="7" t="n">
        <v>18</v>
      </c>
      <c r="B107" s="6" t="s">
        <v>116</v>
      </c>
      <c r="C107" s="7" t="s">
        <v>112</v>
      </c>
      <c r="D107" s="7" t="n">
        <v>203</v>
      </c>
      <c r="E107" s="7" t="n">
        <v>4</v>
      </c>
      <c r="F107" s="7" t="s">
        <v>25</v>
      </c>
      <c r="G107" s="7" t="s">
        <v>30</v>
      </c>
      <c r="H107" s="7" t="s">
        <v>184</v>
      </c>
      <c r="I107" s="7" t="s">
        <v>185</v>
      </c>
    </row>
    <row r="108" customFormat="false" ht="15" hidden="false" customHeight="false" outlineLevel="0" collapsed="false">
      <c r="A108" s="7" t="n">
        <v>18</v>
      </c>
      <c r="B108" s="6" t="s">
        <v>116</v>
      </c>
      <c r="C108" s="7" t="s">
        <v>112</v>
      </c>
      <c r="D108" s="7" t="n">
        <v>203</v>
      </c>
      <c r="E108" s="7" t="n">
        <v>5</v>
      </c>
      <c r="F108" s="7" t="s">
        <v>26</v>
      </c>
      <c r="G108" s="7" t="s">
        <v>33</v>
      </c>
      <c r="H108" s="7" t="s">
        <v>185</v>
      </c>
      <c r="I108" s="7" t="s">
        <v>186</v>
      </c>
    </row>
    <row r="109" customFormat="false" ht="15" hidden="false" customHeight="false" outlineLevel="0" collapsed="false">
      <c r="A109" s="7" t="n">
        <v>18</v>
      </c>
      <c r="B109" s="6" t="s">
        <v>116</v>
      </c>
      <c r="C109" s="7" t="s">
        <v>112</v>
      </c>
      <c r="D109" s="7" t="n">
        <v>203</v>
      </c>
      <c r="E109" s="7" t="n">
        <v>6</v>
      </c>
      <c r="F109" s="7" t="s">
        <v>27</v>
      </c>
      <c r="G109" s="7" t="s">
        <v>30</v>
      </c>
      <c r="H109" s="7" t="s">
        <v>184</v>
      </c>
      <c r="I109" s="7" t="s">
        <v>185</v>
      </c>
    </row>
    <row r="110" customFormat="false" ht="15" hidden="false" customHeight="false" outlineLevel="0" collapsed="false">
      <c r="A110" s="7" t="n">
        <v>19</v>
      </c>
      <c r="B110" s="6" t="s">
        <v>117</v>
      </c>
      <c r="C110" s="7" t="s">
        <v>118</v>
      </c>
      <c r="D110" s="7" t="n">
        <v>101</v>
      </c>
      <c r="E110" s="7" t="n">
        <v>1</v>
      </c>
      <c r="F110" s="7" t="s">
        <v>22</v>
      </c>
      <c r="G110" s="7" t="s">
        <v>30</v>
      </c>
      <c r="H110" s="7" t="s">
        <v>184</v>
      </c>
      <c r="I110" s="7" t="s">
        <v>185</v>
      </c>
    </row>
    <row r="111" customFormat="false" ht="15" hidden="false" customHeight="false" outlineLevel="0" collapsed="false">
      <c r="A111" s="7" t="n">
        <v>19</v>
      </c>
      <c r="B111" s="6" t="s">
        <v>117</v>
      </c>
      <c r="C111" s="7" t="s">
        <v>118</v>
      </c>
      <c r="D111" s="7" t="n">
        <v>101</v>
      </c>
      <c r="E111" s="7" t="n">
        <v>2</v>
      </c>
      <c r="F111" s="7" t="s">
        <v>23</v>
      </c>
      <c r="G111" s="7" t="s">
        <v>33</v>
      </c>
      <c r="H111" s="7" t="s">
        <v>185</v>
      </c>
      <c r="I111" s="7" t="s">
        <v>186</v>
      </c>
    </row>
    <row r="112" customFormat="false" ht="15" hidden="false" customHeight="false" outlineLevel="0" collapsed="false">
      <c r="A112" s="7" t="n">
        <v>19</v>
      </c>
      <c r="B112" s="6" t="s">
        <v>117</v>
      </c>
      <c r="C112" s="7" t="s">
        <v>118</v>
      </c>
      <c r="D112" s="7" t="n">
        <v>101</v>
      </c>
      <c r="E112" s="7" t="n">
        <v>3</v>
      </c>
      <c r="F112" s="7" t="s">
        <v>24</v>
      </c>
      <c r="G112" s="7" t="s">
        <v>30</v>
      </c>
      <c r="H112" s="7" t="s">
        <v>184</v>
      </c>
      <c r="I112" s="7" t="s">
        <v>185</v>
      </c>
    </row>
    <row r="113" customFormat="false" ht="15" hidden="false" customHeight="false" outlineLevel="0" collapsed="false">
      <c r="A113" s="7" t="n">
        <v>19</v>
      </c>
      <c r="B113" s="6" t="s">
        <v>117</v>
      </c>
      <c r="C113" s="7" t="s">
        <v>118</v>
      </c>
      <c r="D113" s="7" t="n">
        <v>101</v>
      </c>
      <c r="E113" s="7" t="n">
        <v>4</v>
      </c>
      <c r="F113" s="7" t="s">
        <v>25</v>
      </c>
      <c r="G113" s="7" t="s">
        <v>33</v>
      </c>
      <c r="H113" s="7" t="s">
        <v>185</v>
      </c>
      <c r="I113" s="7" t="s">
        <v>186</v>
      </c>
    </row>
    <row r="114" customFormat="false" ht="15" hidden="false" customHeight="false" outlineLevel="0" collapsed="false">
      <c r="A114" s="7" t="n">
        <v>19</v>
      </c>
      <c r="B114" s="6" t="s">
        <v>117</v>
      </c>
      <c r="C114" s="7" t="s">
        <v>118</v>
      </c>
      <c r="D114" s="7" t="n">
        <v>101</v>
      </c>
      <c r="E114" s="7" t="n">
        <v>5</v>
      </c>
      <c r="F114" s="7" t="s">
        <v>26</v>
      </c>
      <c r="G114" s="7" t="s">
        <v>30</v>
      </c>
      <c r="H114" s="7" t="s">
        <v>184</v>
      </c>
      <c r="I114" s="7" t="s">
        <v>185</v>
      </c>
    </row>
    <row r="115" customFormat="false" ht="15" hidden="false" customHeight="false" outlineLevel="0" collapsed="false">
      <c r="A115" s="7" t="n">
        <v>19</v>
      </c>
      <c r="B115" s="6" t="s">
        <v>117</v>
      </c>
      <c r="C115" s="7" t="s">
        <v>118</v>
      </c>
      <c r="D115" s="7" t="n">
        <v>101</v>
      </c>
      <c r="E115" s="7" t="n">
        <v>6</v>
      </c>
      <c r="F115" s="7" t="s">
        <v>27</v>
      </c>
      <c r="G115" s="7" t="s">
        <v>30</v>
      </c>
      <c r="H115" s="7" t="s">
        <v>184</v>
      </c>
      <c r="I115" s="7" t="s">
        <v>185</v>
      </c>
    </row>
    <row r="116" customFormat="false" ht="15" hidden="false" customHeight="false" outlineLevel="0" collapsed="false">
      <c r="A116" s="7" t="n">
        <v>20</v>
      </c>
      <c r="B116" s="6" t="s">
        <v>119</v>
      </c>
      <c r="C116" s="7" t="s">
        <v>118</v>
      </c>
      <c r="D116" s="7" t="n">
        <v>101</v>
      </c>
      <c r="E116" s="7" t="n">
        <v>1</v>
      </c>
      <c r="F116" s="7" t="s">
        <v>22</v>
      </c>
      <c r="G116" s="7" t="s">
        <v>33</v>
      </c>
      <c r="H116" s="7" t="s">
        <v>185</v>
      </c>
      <c r="I116" s="7" t="s">
        <v>186</v>
      </c>
    </row>
    <row r="117" customFormat="false" ht="15" hidden="false" customHeight="false" outlineLevel="0" collapsed="false">
      <c r="A117" s="7" t="n">
        <v>20</v>
      </c>
      <c r="B117" s="6" t="s">
        <v>119</v>
      </c>
      <c r="C117" s="7" t="s">
        <v>118</v>
      </c>
      <c r="D117" s="7" t="n">
        <v>101</v>
      </c>
      <c r="E117" s="7" t="n">
        <v>2</v>
      </c>
      <c r="F117" s="7" t="s">
        <v>23</v>
      </c>
      <c r="G117" s="7" t="s">
        <v>30</v>
      </c>
      <c r="H117" s="7" t="s">
        <v>184</v>
      </c>
      <c r="I117" s="7" t="s">
        <v>185</v>
      </c>
    </row>
    <row r="118" customFormat="false" ht="15" hidden="false" customHeight="false" outlineLevel="0" collapsed="false">
      <c r="A118" s="7" t="n">
        <v>20</v>
      </c>
      <c r="B118" s="6" t="s">
        <v>119</v>
      </c>
      <c r="C118" s="7" t="s">
        <v>118</v>
      </c>
      <c r="D118" s="7" t="n">
        <v>101</v>
      </c>
      <c r="E118" s="7" t="n">
        <v>3</v>
      </c>
      <c r="F118" s="7" t="s">
        <v>24</v>
      </c>
      <c r="G118" s="7" t="s">
        <v>33</v>
      </c>
      <c r="H118" s="7" t="s">
        <v>185</v>
      </c>
      <c r="I118" s="7" t="s">
        <v>186</v>
      </c>
    </row>
    <row r="119" customFormat="false" ht="15" hidden="false" customHeight="false" outlineLevel="0" collapsed="false">
      <c r="A119" s="7" t="n">
        <v>20</v>
      </c>
      <c r="B119" s="6" t="s">
        <v>119</v>
      </c>
      <c r="C119" s="7" t="s">
        <v>118</v>
      </c>
      <c r="D119" s="7" t="n">
        <v>101</v>
      </c>
      <c r="E119" s="7" t="n">
        <v>4</v>
      </c>
      <c r="F119" s="7" t="s">
        <v>25</v>
      </c>
      <c r="G119" s="7" t="s">
        <v>30</v>
      </c>
      <c r="H119" s="7" t="s">
        <v>184</v>
      </c>
      <c r="I119" s="7" t="s">
        <v>185</v>
      </c>
    </row>
    <row r="120" customFormat="false" ht="15" hidden="false" customHeight="false" outlineLevel="0" collapsed="false">
      <c r="A120" s="7" t="n">
        <v>20</v>
      </c>
      <c r="B120" s="6" t="s">
        <v>119</v>
      </c>
      <c r="C120" s="7" t="s">
        <v>118</v>
      </c>
      <c r="D120" s="7" t="n">
        <v>101</v>
      </c>
      <c r="E120" s="7" t="n">
        <v>5</v>
      </c>
      <c r="F120" s="7" t="s">
        <v>26</v>
      </c>
      <c r="G120" s="7" t="s">
        <v>33</v>
      </c>
      <c r="H120" s="7" t="s">
        <v>185</v>
      </c>
      <c r="I120" s="7" t="s">
        <v>186</v>
      </c>
    </row>
    <row r="121" customFormat="false" ht="15" hidden="false" customHeight="false" outlineLevel="0" collapsed="false">
      <c r="A121" s="7" t="n">
        <v>20</v>
      </c>
      <c r="B121" s="6" t="s">
        <v>119</v>
      </c>
      <c r="C121" s="7" t="s">
        <v>118</v>
      </c>
      <c r="D121" s="7" t="n">
        <v>101</v>
      </c>
      <c r="E121" s="7" t="n">
        <v>7</v>
      </c>
      <c r="F121" s="7" t="s">
        <v>28</v>
      </c>
      <c r="G121" s="7" t="s">
        <v>30</v>
      </c>
      <c r="H121" s="7" t="s">
        <v>184</v>
      </c>
      <c r="I121" s="7" t="s">
        <v>185</v>
      </c>
    </row>
    <row r="122" customFormat="false" ht="15" hidden="false" customHeight="false" outlineLevel="0" collapsed="false">
      <c r="A122" s="7" t="n">
        <v>21</v>
      </c>
      <c r="B122" s="6" t="s">
        <v>120</v>
      </c>
      <c r="C122" s="7" t="s">
        <v>118</v>
      </c>
      <c r="D122" s="7" t="n">
        <v>102</v>
      </c>
      <c r="E122" s="7" t="n">
        <v>1</v>
      </c>
      <c r="F122" s="7" t="s">
        <v>22</v>
      </c>
      <c r="G122" s="7" t="s">
        <v>30</v>
      </c>
      <c r="H122" s="7" t="s">
        <v>184</v>
      </c>
      <c r="I122" s="7" t="s">
        <v>185</v>
      </c>
    </row>
    <row r="123" customFormat="false" ht="15" hidden="false" customHeight="false" outlineLevel="0" collapsed="false">
      <c r="A123" s="7" t="n">
        <v>21</v>
      </c>
      <c r="B123" s="6" t="s">
        <v>120</v>
      </c>
      <c r="C123" s="7" t="s">
        <v>118</v>
      </c>
      <c r="D123" s="7" t="n">
        <v>102</v>
      </c>
      <c r="E123" s="7" t="n">
        <v>2</v>
      </c>
      <c r="F123" s="7" t="s">
        <v>23</v>
      </c>
      <c r="G123" s="7" t="s">
        <v>33</v>
      </c>
      <c r="H123" s="7" t="s">
        <v>185</v>
      </c>
      <c r="I123" s="7" t="s">
        <v>186</v>
      </c>
    </row>
    <row r="124" customFormat="false" ht="15" hidden="false" customHeight="false" outlineLevel="0" collapsed="false">
      <c r="A124" s="7" t="n">
        <v>21</v>
      </c>
      <c r="B124" s="6" t="s">
        <v>120</v>
      </c>
      <c r="C124" s="7" t="s">
        <v>118</v>
      </c>
      <c r="D124" s="7" t="n">
        <v>102</v>
      </c>
      <c r="E124" s="7" t="n">
        <v>3</v>
      </c>
      <c r="F124" s="7" t="s">
        <v>24</v>
      </c>
      <c r="G124" s="7" t="s">
        <v>30</v>
      </c>
      <c r="H124" s="7" t="s">
        <v>184</v>
      </c>
      <c r="I124" s="7" t="s">
        <v>185</v>
      </c>
    </row>
    <row r="125" customFormat="false" ht="15" hidden="false" customHeight="false" outlineLevel="0" collapsed="false">
      <c r="A125" s="7" t="n">
        <v>21</v>
      </c>
      <c r="B125" s="6" t="s">
        <v>120</v>
      </c>
      <c r="C125" s="7" t="s">
        <v>118</v>
      </c>
      <c r="D125" s="7" t="n">
        <v>102</v>
      </c>
      <c r="E125" s="7" t="n">
        <v>4</v>
      </c>
      <c r="F125" s="7" t="s">
        <v>25</v>
      </c>
      <c r="G125" s="7" t="s">
        <v>33</v>
      </c>
      <c r="H125" s="7" t="s">
        <v>185</v>
      </c>
      <c r="I125" s="7" t="s">
        <v>186</v>
      </c>
    </row>
    <row r="126" customFormat="false" ht="15" hidden="false" customHeight="false" outlineLevel="0" collapsed="false">
      <c r="A126" s="7" t="n">
        <v>21</v>
      </c>
      <c r="B126" s="6" t="s">
        <v>120</v>
      </c>
      <c r="C126" s="7" t="s">
        <v>118</v>
      </c>
      <c r="D126" s="7" t="n">
        <v>102</v>
      </c>
      <c r="E126" s="7" t="n">
        <v>5</v>
      </c>
      <c r="F126" s="7" t="s">
        <v>26</v>
      </c>
      <c r="G126" s="7" t="s">
        <v>30</v>
      </c>
      <c r="H126" s="7" t="s">
        <v>184</v>
      </c>
      <c r="I126" s="7" t="s">
        <v>185</v>
      </c>
    </row>
    <row r="127" customFormat="false" ht="15" hidden="false" customHeight="false" outlineLevel="0" collapsed="false">
      <c r="A127" s="7" t="n">
        <v>21</v>
      </c>
      <c r="B127" s="6" t="s">
        <v>120</v>
      </c>
      <c r="C127" s="7" t="s">
        <v>118</v>
      </c>
      <c r="D127" s="7" t="n">
        <v>102</v>
      </c>
      <c r="E127" s="7" t="n">
        <v>6</v>
      </c>
      <c r="F127" s="7" t="s">
        <v>27</v>
      </c>
      <c r="G127" s="7" t="s">
        <v>33</v>
      </c>
      <c r="H127" s="7" t="s">
        <v>185</v>
      </c>
      <c r="I127" s="7" t="s">
        <v>186</v>
      </c>
    </row>
    <row r="128" customFormat="false" ht="15" hidden="false" customHeight="false" outlineLevel="0" collapsed="false">
      <c r="A128" s="7" t="n">
        <v>22</v>
      </c>
      <c r="B128" s="6" t="s">
        <v>121</v>
      </c>
      <c r="C128" s="7" t="s">
        <v>118</v>
      </c>
      <c r="D128" s="7" t="n">
        <v>102</v>
      </c>
      <c r="E128" s="7" t="n">
        <v>1</v>
      </c>
      <c r="F128" s="7" t="s">
        <v>22</v>
      </c>
      <c r="G128" s="7" t="s">
        <v>33</v>
      </c>
      <c r="H128" s="7" t="s">
        <v>185</v>
      </c>
      <c r="I128" s="7" t="s">
        <v>186</v>
      </c>
    </row>
    <row r="129" customFormat="false" ht="15" hidden="false" customHeight="false" outlineLevel="0" collapsed="false">
      <c r="A129" s="7" t="n">
        <v>22</v>
      </c>
      <c r="B129" s="6" t="s">
        <v>121</v>
      </c>
      <c r="C129" s="7" t="s">
        <v>118</v>
      </c>
      <c r="D129" s="7" t="n">
        <v>102</v>
      </c>
      <c r="E129" s="7" t="n">
        <v>2</v>
      </c>
      <c r="F129" s="7" t="s">
        <v>23</v>
      </c>
      <c r="G129" s="7" t="s">
        <v>30</v>
      </c>
      <c r="H129" s="7" t="s">
        <v>184</v>
      </c>
      <c r="I129" s="7" t="s">
        <v>185</v>
      </c>
    </row>
    <row r="130" customFormat="false" ht="15" hidden="false" customHeight="false" outlineLevel="0" collapsed="false">
      <c r="A130" s="7" t="n">
        <v>22</v>
      </c>
      <c r="B130" s="6" t="s">
        <v>121</v>
      </c>
      <c r="C130" s="7" t="s">
        <v>118</v>
      </c>
      <c r="D130" s="7" t="n">
        <v>102</v>
      </c>
      <c r="E130" s="7" t="n">
        <v>3</v>
      </c>
      <c r="F130" s="7" t="s">
        <v>24</v>
      </c>
      <c r="G130" s="7" t="s">
        <v>33</v>
      </c>
      <c r="H130" s="7" t="s">
        <v>185</v>
      </c>
      <c r="I130" s="7" t="s">
        <v>186</v>
      </c>
    </row>
    <row r="131" customFormat="false" ht="15" hidden="false" customHeight="false" outlineLevel="0" collapsed="false">
      <c r="A131" s="7" t="n">
        <v>22</v>
      </c>
      <c r="B131" s="6" t="s">
        <v>121</v>
      </c>
      <c r="C131" s="7" t="s">
        <v>118</v>
      </c>
      <c r="D131" s="7" t="n">
        <v>102</v>
      </c>
      <c r="E131" s="7" t="n">
        <v>4</v>
      </c>
      <c r="F131" s="7" t="s">
        <v>25</v>
      </c>
      <c r="G131" s="7" t="s">
        <v>30</v>
      </c>
      <c r="H131" s="7" t="s">
        <v>184</v>
      </c>
      <c r="I131" s="7" t="s">
        <v>185</v>
      </c>
    </row>
    <row r="132" customFormat="false" ht="15" hidden="false" customHeight="false" outlineLevel="0" collapsed="false">
      <c r="A132" s="7" t="n">
        <v>22</v>
      </c>
      <c r="B132" s="6" t="s">
        <v>121</v>
      </c>
      <c r="C132" s="7" t="s">
        <v>118</v>
      </c>
      <c r="D132" s="7" t="n">
        <v>102</v>
      </c>
      <c r="E132" s="7" t="n">
        <v>5</v>
      </c>
      <c r="F132" s="7" t="s">
        <v>26</v>
      </c>
      <c r="G132" s="7" t="s">
        <v>33</v>
      </c>
      <c r="H132" s="7" t="s">
        <v>185</v>
      </c>
      <c r="I132" s="7" t="s">
        <v>186</v>
      </c>
    </row>
    <row r="133" customFormat="false" ht="15" hidden="false" customHeight="false" outlineLevel="0" collapsed="false">
      <c r="A133" s="7" t="n">
        <v>22</v>
      </c>
      <c r="B133" s="6" t="s">
        <v>121</v>
      </c>
      <c r="C133" s="7" t="s">
        <v>118</v>
      </c>
      <c r="D133" s="7" t="n">
        <v>102</v>
      </c>
      <c r="E133" s="7" t="n">
        <v>7</v>
      </c>
      <c r="F133" s="7" t="s">
        <v>28</v>
      </c>
      <c r="G133" s="7" t="s">
        <v>33</v>
      </c>
      <c r="H133" s="7" t="s">
        <v>185</v>
      </c>
      <c r="I133" s="7" t="s">
        <v>186</v>
      </c>
    </row>
    <row r="134" customFormat="false" ht="15" hidden="false" customHeight="false" outlineLevel="0" collapsed="false">
      <c r="A134" s="7" t="n">
        <v>23</v>
      </c>
      <c r="B134" s="6" t="s">
        <v>122</v>
      </c>
      <c r="C134" s="7" t="s">
        <v>118</v>
      </c>
      <c r="D134" s="7" t="n">
        <v>103</v>
      </c>
      <c r="E134" s="7" t="n">
        <v>1</v>
      </c>
      <c r="F134" s="7" t="s">
        <v>22</v>
      </c>
      <c r="G134" s="7" t="s">
        <v>30</v>
      </c>
      <c r="H134" s="7" t="s">
        <v>184</v>
      </c>
      <c r="I134" s="7" t="s">
        <v>185</v>
      </c>
    </row>
    <row r="135" customFormat="false" ht="15" hidden="false" customHeight="false" outlineLevel="0" collapsed="false">
      <c r="A135" s="7" t="n">
        <v>23</v>
      </c>
      <c r="B135" s="6" t="s">
        <v>122</v>
      </c>
      <c r="C135" s="7" t="s">
        <v>118</v>
      </c>
      <c r="D135" s="7" t="n">
        <v>103</v>
      </c>
      <c r="E135" s="7" t="n">
        <v>2</v>
      </c>
      <c r="F135" s="7" t="s">
        <v>23</v>
      </c>
      <c r="G135" s="7" t="s">
        <v>33</v>
      </c>
      <c r="H135" s="7" t="s">
        <v>185</v>
      </c>
      <c r="I135" s="7" t="s">
        <v>186</v>
      </c>
    </row>
    <row r="136" customFormat="false" ht="15" hidden="false" customHeight="false" outlineLevel="0" collapsed="false">
      <c r="A136" s="7" t="n">
        <v>23</v>
      </c>
      <c r="B136" s="6" t="s">
        <v>122</v>
      </c>
      <c r="C136" s="7" t="s">
        <v>118</v>
      </c>
      <c r="D136" s="7" t="n">
        <v>103</v>
      </c>
      <c r="E136" s="7" t="n">
        <v>3</v>
      </c>
      <c r="F136" s="7" t="s">
        <v>24</v>
      </c>
      <c r="G136" s="7" t="s">
        <v>30</v>
      </c>
      <c r="H136" s="7" t="s">
        <v>184</v>
      </c>
      <c r="I136" s="7" t="s">
        <v>185</v>
      </c>
    </row>
    <row r="137" customFormat="false" ht="15" hidden="false" customHeight="false" outlineLevel="0" collapsed="false">
      <c r="A137" s="7" t="n">
        <v>23</v>
      </c>
      <c r="B137" s="6" t="s">
        <v>122</v>
      </c>
      <c r="C137" s="7" t="s">
        <v>118</v>
      </c>
      <c r="D137" s="7" t="n">
        <v>103</v>
      </c>
      <c r="E137" s="7" t="n">
        <v>4</v>
      </c>
      <c r="F137" s="7" t="s">
        <v>25</v>
      </c>
      <c r="G137" s="7" t="s">
        <v>33</v>
      </c>
      <c r="H137" s="7" t="s">
        <v>185</v>
      </c>
      <c r="I137" s="7" t="s">
        <v>186</v>
      </c>
    </row>
    <row r="138" customFormat="false" ht="15" hidden="false" customHeight="false" outlineLevel="0" collapsed="false">
      <c r="A138" s="7" t="n">
        <v>23</v>
      </c>
      <c r="B138" s="6" t="s">
        <v>122</v>
      </c>
      <c r="C138" s="7" t="s">
        <v>118</v>
      </c>
      <c r="D138" s="7" t="n">
        <v>103</v>
      </c>
      <c r="E138" s="7" t="n">
        <v>5</v>
      </c>
      <c r="F138" s="7" t="s">
        <v>26</v>
      </c>
      <c r="G138" s="7" t="s">
        <v>30</v>
      </c>
      <c r="H138" s="7" t="s">
        <v>184</v>
      </c>
      <c r="I138" s="7" t="s">
        <v>185</v>
      </c>
    </row>
    <row r="139" customFormat="false" ht="15" hidden="false" customHeight="false" outlineLevel="0" collapsed="false">
      <c r="A139" s="7" t="n">
        <v>23</v>
      </c>
      <c r="B139" s="6" t="s">
        <v>122</v>
      </c>
      <c r="C139" s="7" t="s">
        <v>118</v>
      </c>
      <c r="D139" s="7" t="n">
        <v>103</v>
      </c>
      <c r="E139" s="7" t="n">
        <v>7</v>
      </c>
      <c r="F139" s="7" t="s">
        <v>28</v>
      </c>
      <c r="G139" s="7" t="s">
        <v>30</v>
      </c>
      <c r="H139" s="7" t="s">
        <v>184</v>
      </c>
      <c r="I139" s="7" t="s">
        <v>185</v>
      </c>
    </row>
    <row r="140" customFormat="false" ht="15" hidden="false" customHeight="false" outlineLevel="0" collapsed="false">
      <c r="A140" s="7" t="n">
        <v>24</v>
      </c>
      <c r="B140" s="6" t="s">
        <v>123</v>
      </c>
      <c r="C140" s="7" t="s">
        <v>118</v>
      </c>
      <c r="D140" s="7" t="n">
        <v>103</v>
      </c>
      <c r="E140" s="7" t="n">
        <v>1</v>
      </c>
      <c r="F140" s="7" t="s">
        <v>22</v>
      </c>
      <c r="G140" s="7" t="s">
        <v>33</v>
      </c>
      <c r="H140" s="7" t="s">
        <v>185</v>
      </c>
      <c r="I140" s="7" t="s">
        <v>186</v>
      </c>
    </row>
    <row r="141" customFormat="false" ht="15" hidden="false" customHeight="false" outlineLevel="0" collapsed="false">
      <c r="A141" s="7" t="n">
        <v>24</v>
      </c>
      <c r="B141" s="6" t="s">
        <v>123</v>
      </c>
      <c r="C141" s="7" t="s">
        <v>118</v>
      </c>
      <c r="D141" s="7" t="n">
        <v>103</v>
      </c>
      <c r="E141" s="7" t="n">
        <v>2</v>
      </c>
      <c r="F141" s="7" t="s">
        <v>23</v>
      </c>
      <c r="G141" s="7" t="s">
        <v>30</v>
      </c>
      <c r="H141" s="7" t="s">
        <v>184</v>
      </c>
      <c r="I141" s="7" t="s">
        <v>185</v>
      </c>
    </row>
    <row r="142" customFormat="false" ht="15" hidden="false" customHeight="false" outlineLevel="0" collapsed="false">
      <c r="A142" s="7" t="n">
        <v>24</v>
      </c>
      <c r="B142" s="6" t="s">
        <v>123</v>
      </c>
      <c r="C142" s="7" t="s">
        <v>118</v>
      </c>
      <c r="D142" s="7" t="n">
        <v>103</v>
      </c>
      <c r="E142" s="7" t="n">
        <v>3</v>
      </c>
      <c r="F142" s="7" t="s">
        <v>24</v>
      </c>
      <c r="G142" s="7" t="s">
        <v>33</v>
      </c>
      <c r="H142" s="7" t="s">
        <v>185</v>
      </c>
      <c r="I142" s="7" t="s">
        <v>186</v>
      </c>
    </row>
    <row r="143" customFormat="false" ht="15" hidden="false" customHeight="false" outlineLevel="0" collapsed="false">
      <c r="A143" s="7" t="n">
        <v>24</v>
      </c>
      <c r="B143" s="6" t="s">
        <v>123</v>
      </c>
      <c r="C143" s="7" t="s">
        <v>118</v>
      </c>
      <c r="D143" s="7" t="n">
        <v>103</v>
      </c>
      <c r="E143" s="7" t="n">
        <v>4</v>
      </c>
      <c r="F143" s="7" t="s">
        <v>25</v>
      </c>
      <c r="G143" s="7" t="s">
        <v>30</v>
      </c>
      <c r="H143" s="7" t="s">
        <v>184</v>
      </c>
      <c r="I143" s="7" t="s">
        <v>185</v>
      </c>
    </row>
    <row r="144" customFormat="false" ht="15" hidden="false" customHeight="false" outlineLevel="0" collapsed="false">
      <c r="A144" s="7" t="n">
        <v>24</v>
      </c>
      <c r="B144" s="6" t="s">
        <v>123</v>
      </c>
      <c r="C144" s="7" t="s">
        <v>118</v>
      </c>
      <c r="D144" s="7" t="n">
        <v>103</v>
      </c>
      <c r="E144" s="7" t="n">
        <v>5</v>
      </c>
      <c r="F144" s="7" t="s">
        <v>26</v>
      </c>
      <c r="G144" s="7" t="s">
        <v>33</v>
      </c>
      <c r="H144" s="7" t="s">
        <v>185</v>
      </c>
      <c r="I144" s="7" t="s">
        <v>186</v>
      </c>
    </row>
    <row r="145" customFormat="false" ht="15" hidden="false" customHeight="false" outlineLevel="0" collapsed="false">
      <c r="A145" s="7" t="n">
        <v>24</v>
      </c>
      <c r="B145" s="6" t="s">
        <v>123</v>
      </c>
      <c r="C145" s="7" t="s">
        <v>118</v>
      </c>
      <c r="D145" s="7" t="n">
        <v>103</v>
      </c>
      <c r="E145" s="7" t="n">
        <v>6</v>
      </c>
      <c r="F145" s="7" t="s">
        <v>27</v>
      </c>
      <c r="G145" s="7" t="s">
        <v>30</v>
      </c>
      <c r="H145" s="7" t="s">
        <v>184</v>
      </c>
      <c r="I145" s="7" t="s">
        <v>185</v>
      </c>
    </row>
    <row r="146" customFormat="false" ht="15" hidden="false" customHeight="false" outlineLevel="0" collapsed="false">
      <c r="A146" s="7" t="n">
        <v>25</v>
      </c>
      <c r="B146" s="6" t="s">
        <v>124</v>
      </c>
      <c r="C146" s="7" t="s">
        <v>125</v>
      </c>
      <c r="D146" s="7" t="n">
        <v>106</v>
      </c>
      <c r="E146" s="7" t="n">
        <v>1</v>
      </c>
      <c r="F146" s="7" t="s">
        <v>22</v>
      </c>
      <c r="G146" s="7" t="s">
        <v>30</v>
      </c>
      <c r="H146" s="7" t="s">
        <v>184</v>
      </c>
      <c r="I146" s="7" t="s">
        <v>185</v>
      </c>
    </row>
    <row r="147" customFormat="false" ht="15" hidden="false" customHeight="false" outlineLevel="0" collapsed="false">
      <c r="A147" s="7" t="n">
        <v>25</v>
      </c>
      <c r="B147" s="6" t="s">
        <v>124</v>
      </c>
      <c r="C147" s="7" t="s">
        <v>125</v>
      </c>
      <c r="D147" s="7" t="n">
        <v>106</v>
      </c>
      <c r="E147" s="7" t="n">
        <v>2</v>
      </c>
      <c r="F147" s="7" t="s">
        <v>23</v>
      </c>
      <c r="G147" s="7" t="s">
        <v>33</v>
      </c>
      <c r="H147" s="7" t="s">
        <v>185</v>
      </c>
      <c r="I147" s="7" t="s">
        <v>186</v>
      </c>
    </row>
    <row r="148" customFormat="false" ht="15" hidden="false" customHeight="false" outlineLevel="0" collapsed="false">
      <c r="A148" s="7" t="n">
        <v>25</v>
      </c>
      <c r="B148" s="6" t="s">
        <v>124</v>
      </c>
      <c r="C148" s="7" t="s">
        <v>125</v>
      </c>
      <c r="D148" s="7" t="n">
        <v>106</v>
      </c>
      <c r="E148" s="7" t="n">
        <v>3</v>
      </c>
      <c r="F148" s="7" t="s">
        <v>24</v>
      </c>
      <c r="G148" s="7" t="s">
        <v>30</v>
      </c>
      <c r="H148" s="7" t="s">
        <v>184</v>
      </c>
      <c r="I148" s="7" t="s">
        <v>185</v>
      </c>
    </row>
    <row r="149" customFormat="false" ht="15" hidden="false" customHeight="false" outlineLevel="0" collapsed="false">
      <c r="A149" s="7" t="n">
        <v>25</v>
      </c>
      <c r="B149" s="6" t="s">
        <v>124</v>
      </c>
      <c r="C149" s="7" t="s">
        <v>125</v>
      </c>
      <c r="D149" s="7" t="n">
        <v>106</v>
      </c>
      <c r="E149" s="7" t="n">
        <v>4</v>
      </c>
      <c r="F149" s="7" t="s">
        <v>25</v>
      </c>
      <c r="G149" s="7" t="s">
        <v>33</v>
      </c>
      <c r="H149" s="7" t="s">
        <v>185</v>
      </c>
      <c r="I149" s="7" t="s">
        <v>186</v>
      </c>
    </row>
    <row r="150" customFormat="false" ht="15" hidden="false" customHeight="false" outlineLevel="0" collapsed="false">
      <c r="A150" s="7" t="n">
        <v>25</v>
      </c>
      <c r="B150" s="6" t="s">
        <v>124</v>
      </c>
      <c r="C150" s="7" t="s">
        <v>125</v>
      </c>
      <c r="D150" s="7" t="n">
        <v>106</v>
      </c>
      <c r="E150" s="7" t="n">
        <v>5</v>
      </c>
      <c r="F150" s="7" t="s">
        <v>26</v>
      </c>
      <c r="G150" s="7" t="s">
        <v>30</v>
      </c>
      <c r="H150" s="7" t="s">
        <v>184</v>
      </c>
      <c r="I150" s="7" t="s">
        <v>185</v>
      </c>
    </row>
    <row r="151" customFormat="false" ht="15" hidden="false" customHeight="false" outlineLevel="0" collapsed="false">
      <c r="A151" s="7" t="n">
        <v>25</v>
      </c>
      <c r="B151" s="6" t="s">
        <v>124</v>
      </c>
      <c r="C151" s="7" t="s">
        <v>125</v>
      </c>
      <c r="D151" s="7" t="n">
        <v>106</v>
      </c>
      <c r="E151" s="7" t="n">
        <v>7</v>
      </c>
      <c r="F151" s="7" t="s">
        <v>28</v>
      </c>
      <c r="G151" s="7" t="s">
        <v>30</v>
      </c>
      <c r="H151" s="7" t="s">
        <v>184</v>
      </c>
      <c r="I151" s="7" t="s">
        <v>185</v>
      </c>
    </row>
    <row r="152" customFormat="false" ht="15" hidden="false" customHeight="false" outlineLevel="0" collapsed="false">
      <c r="A152" s="7" t="n">
        <v>26</v>
      </c>
      <c r="B152" s="6" t="s">
        <v>126</v>
      </c>
      <c r="C152" s="7" t="s">
        <v>127</v>
      </c>
      <c r="D152" s="7" t="n">
        <v>105</v>
      </c>
      <c r="E152" s="7" t="n">
        <v>1</v>
      </c>
      <c r="F152" s="7" t="s">
        <v>22</v>
      </c>
      <c r="G152" s="7" t="s">
        <v>33</v>
      </c>
      <c r="H152" s="7" t="s">
        <v>185</v>
      </c>
      <c r="I152" s="7" t="s">
        <v>186</v>
      </c>
    </row>
    <row r="153" customFormat="false" ht="15" hidden="false" customHeight="false" outlineLevel="0" collapsed="false">
      <c r="A153" s="7" t="n">
        <v>26</v>
      </c>
      <c r="B153" s="6" t="s">
        <v>126</v>
      </c>
      <c r="C153" s="7" t="s">
        <v>127</v>
      </c>
      <c r="D153" s="7" t="n">
        <v>105</v>
      </c>
      <c r="E153" s="7" t="n">
        <v>2</v>
      </c>
      <c r="F153" s="7" t="s">
        <v>23</v>
      </c>
      <c r="G153" s="7" t="s">
        <v>30</v>
      </c>
      <c r="H153" s="7" t="s">
        <v>184</v>
      </c>
      <c r="I153" s="7" t="s">
        <v>185</v>
      </c>
    </row>
    <row r="154" customFormat="false" ht="15" hidden="false" customHeight="false" outlineLevel="0" collapsed="false">
      <c r="A154" s="7" t="n">
        <v>26</v>
      </c>
      <c r="B154" s="6" t="s">
        <v>126</v>
      </c>
      <c r="C154" s="7" t="s">
        <v>127</v>
      </c>
      <c r="D154" s="7" t="n">
        <v>105</v>
      </c>
      <c r="E154" s="7" t="n">
        <v>3</v>
      </c>
      <c r="F154" s="7" t="s">
        <v>24</v>
      </c>
      <c r="G154" s="7" t="s">
        <v>33</v>
      </c>
      <c r="H154" s="7" t="s">
        <v>185</v>
      </c>
      <c r="I154" s="7" t="s">
        <v>186</v>
      </c>
    </row>
    <row r="155" customFormat="false" ht="15" hidden="false" customHeight="false" outlineLevel="0" collapsed="false">
      <c r="A155" s="7" t="n">
        <v>26</v>
      </c>
      <c r="B155" s="6" t="s">
        <v>126</v>
      </c>
      <c r="C155" s="7" t="s">
        <v>127</v>
      </c>
      <c r="D155" s="7" t="n">
        <v>105</v>
      </c>
      <c r="E155" s="7" t="n">
        <v>4</v>
      </c>
      <c r="F155" s="7" t="s">
        <v>25</v>
      </c>
      <c r="G155" s="7" t="s">
        <v>30</v>
      </c>
      <c r="H155" s="7" t="s">
        <v>184</v>
      </c>
      <c r="I155" s="7" t="s">
        <v>185</v>
      </c>
    </row>
    <row r="156" customFormat="false" ht="15" hidden="false" customHeight="false" outlineLevel="0" collapsed="false">
      <c r="A156" s="7" t="n">
        <v>26</v>
      </c>
      <c r="B156" s="6" t="s">
        <v>126</v>
      </c>
      <c r="C156" s="7" t="s">
        <v>127</v>
      </c>
      <c r="D156" s="7" t="n">
        <v>105</v>
      </c>
      <c r="E156" s="7" t="n">
        <v>5</v>
      </c>
      <c r="F156" s="7" t="s">
        <v>26</v>
      </c>
      <c r="G156" s="7" t="s">
        <v>33</v>
      </c>
      <c r="H156" s="7" t="s">
        <v>185</v>
      </c>
      <c r="I156" s="7" t="s">
        <v>186</v>
      </c>
    </row>
    <row r="157" customFormat="false" ht="15" hidden="false" customHeight="false" outlineLevel="0" collapsed="false">
      <c r="A157" s="7" t="n">
        <v>26</v>
      </c>
      <c r="B157" s="6" t="s">
        <v>126</v>
      </c>
      <c r="C157" s="7" t="s">
        <v>127</v>
      </c>
      <c r="D157" s="7" t="n">
        <v>105</v>
      </c>
      <c r="E157" s="7" t="n">
        <v>6</v>
      </c>
      <c r="F157" s="7" t="s">
        <v>27</v>
      </c>
      <c r="G157" s="7" t="s">
        <v>30</v>
      </c>
      <c r="H157" s="7" t="s">
        <v>184</v>
      </c>
      <c r="I157" s="7" t="s">
        <v>185</v>
      </c>
    </row>
    <row r="158" customFormat="false" ht="15" hidden="false" customHeight="false" outlineLevel="0" collapsed="false">
      <c r="A158" s="7" t="n">
        <v>27</v>
      </c>
      <c r="B158" s="6" t="s">
        <v>128</v>
      </c>
      <c r="C158" s="7" t="s">
        <v>129</v>
      </c>
      <c r="D158" s="7" t="n">
        <v>104</v>
      </c>
      <c r="E158" s="7" t="n">
        <v>1</v>
      </c>
      <c r="F158" s="7" t="s">
        <v>22</v>
      </c>
      <c r="G158" s="7" t="s">
        <v>30</v>
      </c>
      <c r="H158" s="7" t="s">
        <v>184</v>
      </c>
      <c r="I158" s="7" t="s">
        <v>185</v>
      </c>
    </row>
    <row r="159" customFormat="false" ht="15" hidden="false" customHeight="false" outlineLevel="0" collapsed="false">
      <c r="A159" s="7" t="n">
        <v>27</v>
      </c>
      <c r="B159" s="6" t="s">
        <v>128</v>
      </c>
      <c r="C159" s="7" t="s">
        <v>129</v>
      </c>
      <c r="D159" s="7" t="n">
        <v>104</v>
      </c>
      <c r="E159" s="7" t="n">
        <v>2</v>
      </c>
      <c r="F159" s="7" t="s">
        <v>23</v>
      </c>
      <c r="G159" s="7" t="s">
        <v>33</v>
      </c>
      <c r="H159" s="7" t="s">
        <v>185</v>
      </c>
      <c r="I159" s="7" t="s">
        <v>186</v>
      </c>
    </row>
    <row r="160" customFormat="false" ht="15" hidden="false" customHeight="false" outlineLevel="0" collapsed="false">
      <c r="A160" s="7" t="n">
        <v>27</v>
      </c>
      <c r="B160" s="6" t="s">
        <v>128</v>
      </c>
      <c r="C160" s="7" t="s">
        <v>129</v>
      </c>
      <c r="D160" s="7" t="n">
        <v>104</v>
      </c>
      <c r="E160" s="7" t="n">
        <v>3</v>
      </c>
      <c r="F160" s="7" t="s">
        <v>24</v>
      </c>
      <c r="G160" s="7" t="s">
        <v>30</v>
      </c>
      <c r="H160" s="7" t="s">
        <v>184</v>
      </c>
      <c r="I160" s="7" t="s">
        <v>185</v>
      </c>
    </row>
    <row r="161" customFormat="false" ht="15" hidden="false" customHeight="false" outlineLevel="0" collapsed="false">
      <c r="A161" s="7" t="n">
        <v>27</v>
      </c>
      <c r="B161" s="6" t="s">
        <v>128</v>
      </c>
      <c r="C161" s="7" t="s">
        <v>129</v>
      </c>
      <c r="D161" s="7" t="n">
        <v>104</v>
      </c>
      <c r="E161" s="7" t="n">
        <v>4</v>
      </c>
      <c r="F161" s="7" t="s">
        <v>25</v>
      </c>
      <c r="G161" s="7" t="s">
        <v>33</v>
      </c>
      <c r="H161" s="7" t="s">
        <v>185</v>
      </c>
      <c r="I161" s="7" t="s">
        <v>186</v>
      </c>
    </row>
    <row r="162" customFormat="false" ht="15" hidden="false" customHeight="false" outlineLevel="0" collapsed="false">
      <c r="A162" s="7" t="n">
        <v>27</v>
      </c>
      <c r="B162" s="6" t="s">
        <v>128</v>
      </c>
      <c r="C162" s="7" t="s">
        <v>129</v>
      </c>
      <c r="D162" s="7" t="n">
        <v>104</v>
      </c>
      <c r="E162" s="7" t="n">
        <v>5</v>
      </c>
      <c r="F162" s="7" t="s">
        <v>26</v>
      </c>
      <c r="G162" s="7" t="s">
        <v>30</v>
      </c>
      <c r="H162" s="7" t="s">
        <v>184</v>
      </c>
      <c r="I162" s="7" t="s">
        <v>185</v>
      </c>
    </row>
    <row r="163" customFormat="false" ht="15" hidden="false" customHeight="false" outlineLevel="0" collapsed="false">
      <c r="A163" s="7" t="n">
        <v>27</v>
      </c>
      <c r="B163" s="6" t="s">
        <v>128</v>
      </c>
      <c r="C163" s="7" t="s">
        <v>129</v>
      </c>
      <c r="D163" s="7" t="n">
        <v>104</v>
      </c>
      <c r="E163" s="7" t="n">
        <v>6</v>
      </c>
      <c r="F163" s="7" t="s">
        <v>27</v>
      </c>
      <c r="G163" s="7" t="s">
        <v>30</v>
      </c>
      <c r="H163" s="7" t="s">
        <v>184</v>
      </c>
      <c r="I163" s="7" t="s">
        <v>185</v>
      </c>
    </row>
    <row r="164" customFormat="false" ht="15" hidden="false" customHeight="false" outlineLevel="0" collapsed="false">
      <c r="A164" s="7" t="n">
        <v>28</v>
      </c>
      <c r="B164" s="6" t="s">
        <v>130</v>
      </c>
      <c r="C164" s="7" t="s">
        <v>129</v>
      </c>
      <c r="D164" s="7" t="n">
        <v>104</v>
      </c>
      <c r="E164" s="7" t="n">
        <v>1</v>
      </c>
      <c r="F164" s="7" t="s">
        <v>22</v>
      </c>
      <c r="G164" s="7" t="s">
        <v>33</v>
      </c>
      <c r="H164" s="7" t="s">
        <v>185</v>
      </c>
      <c r="I164" s="7" t="s">
        <v>186</v>
      </c>
    </row>
    <row r="165" customFormat="false" ht="15" hidden="false" customHeight="false" outlineLevel="0" collapsed="false">
      <c r="A165" s="7" t="n">
        <v>28</v>
      </c>
      <c r="B165" s="6" t="s">
        <v>130</v>
      </c>
      <c r="C165" s="7" t="s">
        <v>129</v>
      </c>
      <c r="D165" s="7" t="n">
        <v>104</v>
      </c>
      <c r="E165" s="7" t="n">
        <v>2</v>
      </c>
      <c r="F165" s="7" t="s">
        <v>23</v>
      </c>
      <c r="G165" s="7" t="s">
        <v>30</v>
      </c>
      <c r="H165" s="7" t="s">
        <v>184</v>
      </c>
      <c r="I165" s="7" t="s">
        <v>185</v>
      </c>
    </row>
    <row r="166" customFormat="false" ht="15" hidden="false" customHeight="false" outlineLevel="0" collapsed="false">
      <c r="A166" s="7" t="n">
        <v>28</v>
      </c>
      <c r="B166" s="6" t="s">
        <v>130</v>
      </c>
      <c r="C166" s="7" t="s">
        <v>129</v>
      </c>
      <c r="D166" s="7" t="n">
        <v>104</v>
      </c>
      <c r="E166" s="7" t="n">
        <v>3</v>
      </c>
      <c r="F166" s="7" t="s">
        <v>24</v>
      </c>
      <c r="G166" s="7" t="s">
        <v>33</v>
      </c>
      <c r="H166" s="7" t="s">
        <v>185</v>
      </c>
      <c r="I166" s="7" t="s">
        <v>186</v>
      </c>
    </row>
    <row r="167" customFormat="false" ht="15" hidden="false" customHeight="false" outlineLevel="0" collapsed="false">
      <c r="A167" s="7" t="n">
        <v>28</v>
      </c>
      <c r="B167" s="6" t="s">
        <v>130</v>
      </c>
      <c r="C167" s="7" t="s">
        <v>129</v>
      </c>
      <c r="D167" s="7" t="n">
        <v>104</v>
      </c>
      <c r="E167" s="7" t="n">
        <v>4</v>
      </c>
      <c r="F167" s="7" t="s">
        <v>25</v>
      </c>
      <c r="G167" s="7" t="s">
        <v>30</v>
      </c>
      <c r="H167" s="7" t="s">
        <v>184</v>
      </c>
      <c r="I167" s="7" t="s">
        <v>185</v>
      </c>
    </row>
    <row r="168" customFormat="false" ht="15" hidden="false" customHeight="false" outlineLevel="0" collapsed="false">
      <c r="A168" s="7" t="n">
        <v>28</v>
      </c>
      <c r="B168" s="6" t="s">
        <v>130</v>
      </c>
      <c r="C168" s="7" t="s">
        <v>129</v>
      </c>
      <c r="D168" s="7" t="n">
        <v>104</v>
      </c>
      <c r="E168" s="7" t="n">
        <v>5</v>
      </c>
      <c r="F168" s="7" t="s">
        <v>26</v>
      </c>
      <c r="G168" s="7" t="s">
        <v>33</v>
      </c>
      <c r="H168" s="7" t="s">
        <v>185</v>
      </c>
      <c r="I168" s="7" t="s">
        <v>186</v>
      </c>
    </row>
    <row r="169" customFormat="false" ht="15" hidden="false" customHeight="false" outlineLevel="0" collapsed="false">
      <c r="A169" s="7" t="n">
        <v>28</v>
      </c>
      <c r="B169" s="6" t="s">
        <v>130</v>
      </c>
      <c r="C169" s="7" t="s">
        <v>129</v>
      </c>
      <c r="D169" s="7" t="n">
        <v>104</v>
      </c>
      <c r="E169" s="7" t="n">
        <v>7</v>
      </c>
      <c r="F169" s="7" t="s">
        <v>28</v>
      </c>
      <c r="G169" s="7" t="s">
        <v>30</v>
      </c>
      <c r="H169" s="7" t="s">
        <v>184</v>
      </c>
      <c r="I169" s="7" t="s">
        <v>185</v>
      </c>
    </row>
    <row r="170" customFormat="false" ht="15" hidden="false" customHeight="false" outlineLevel="0" collapsed="false">
      <c r="A170" s="7" t="n">
        <v>29</v>
      </c>
      <c r="B170" s="6" t="s">
        <v>131</v>
      </c>
      <c r="C170" s="7" t="s">
        <v>129</v>
      </c>
      <c r="D170" s="7" t="n">
        <v>105</v>
      </c>
      <c r="E170" s="7" t="n">
        <v>1</v>
      </c>
      <c r="F170" s="7" t="s">
        <v>22</v>
      </c>
      <c r="G170" s="7" t="s">
        <v>30</v>
      </c>
      <c r="H170" s="7" t="s">
        <v>184</v>
      </c>
      <c r="I170" s="7" t="s">
        <v>185</v>
      </c>
    </row>
    <row r="171" customFormat="false" ht="15" hidden="false" customHeight="false" outlineLevel="0" collapsed="false">
      <c r="A171" s="7" t="n">
        <v>29</v>
      </c>
      <c r="B171" s="6" t="s">
        <v>131</v>
      </c>
      <c r="C171" s="7" t="s">
        <v>129</v>
      </c>
      <c r="D171" s="7" t="n">
        <v>105</v>
      </c>
      <c r="E171" s="7" t="n">
        <v>2</v>
      </c>
      <c r="F171" s="7" t="s">
        <v>23</v>
      </c>
      <c r="G171" s="7" t="s">
        <v>33</v>
      </c>
      <c r="H171" s="7" t="s">
        <v>185</v>
      </c>
      <c r="I171" s="7" t="s">
        <v>186</v>
      </c>
    </row>
    <row r="172" customFormat="false" ht="15" hidden="false" customHeight="false" outlineLevel="0" collapsed="false">
      <c r="A172" s="7" t="n">
        <v>29</v>
      </c>
      <c r="B172" s="6" t="s">
        <v>131</v>
      </c>
      <c r="C172" s="7" t="s">
        <v>129</v>
      </c>
      <c r="D172" s="7" t="n">
        <v>105</v>
      </c>
      <c r="E172" s="7" t="n">
        <v>3</v>
      </c>
      <c r="F172" s="7" t="s">
        <v>24</v>
      </c>
      <c r="G172" s="7" t="s">
        <v>30</v>
      </c>
      <c r="H172" s="7" t="s">
        <v>184</v>
      </c>
      <c r="I172" s="7" t="s">
        <v>185</v>
      </c>
    </row>
    <row r="173" customFormat="false" ht="15" hidden="false" customHeight="false" outlineLevel="0" collapsed="false">
      <c r="A173" s="7" t="n">
        <v>29</v>
      </c>
      <c r="B173" s="6" t="s">
        <v>131</v>
      </c>
      <c r="C173" s="7" t="s">
        <v>129</v>
      </c>
      <c r="D173" s="7" t="n">
        <v>105</v>
      </c>
      <c r="E173" s="7" t="n">
        <v>4</v>
      </c>
      <c r="F173" s="7" t="s">
        <v>25</v>
      </c>
      <c r="G173" s="7" t="s">
        <v>33</v>
      </c>
      <c r="H173" s="7" t="s">
        <v>185</v>
      </c>
      <c r="I173" s="7" t="s">
        <v>186</v>
      </c>
    </row>
    <row r="174" customFormat="false" ht="15" hidden="false" customHeight="false" outlineLevel="0" collapsed="false">
      <c r="A174" s="7" t="n">
        <v>29</v>
      </c>
      <c r="B174" s="6" t="s">
        <v>131</v>
      </c>
      <c r="C174" s="7" t="s">
        <v>129</v>
      </c>
      <c r="D174" s="7" t="n">
        <v>105</v>
      </c>
      <c r="E174" s="7" t="n">
        <v>5</v>
      </c>
      <c r="F174" s="7" t="s">
        <v>26</v>
      </c>
      <c r="G174" s="7" t="s">
        <v>30</v>
      </c>
      <c r="H174" s="7" t="s">
        <v>184</v>
      </c>
      <c r="I174" s="7" t="s">
        <v>185</v>
      </c>
    </row>
    <row r="175" customFormat="false" ht="15" hidden="false" customHeight="false" outlineLevel="0" collapsed="false">
      <c r="A175" s="7" t="n">
        <v>29</v>
      </c>
      <c r="B175" s="6" t="s">
        <v>131</v>
      </c>
      <c r="C175" s="7" t="s">
        <v>129</v>
      </c>
      <c r="D175" s="7" t="n">
        <v>105</v>
      </c>
      <c r="E175" s="7" t="n">
        <v>6</v>
      </c>
      <c r="F175" s="7" t="s">
        <v>27</v>
      </c>
      <c r="G175" s="7" t="s">
        <v>33</v>
      </c>
      <c r="H175" s="7" t="s">
        <v>185</v>
      </c>
      <c r="I175" s="7" t="s">
        <v>186</v>
      </c>
    </row>
    <row r="176" customFormat="false" ht="15" hidden="false" customHeight="false" outlineLevel="0" collapsed="false">
      <c r="A176" s="7" t="n">
        <v>30</v>
      </c>
      <c r="B176" s="6" t="s">
        <v>132</v>
      </c>
      <c r="C176" s="7" t="s">
        <v>133</v>
      </c>
      <c r="D176" s="7" t="n">
        <v>113</v>
      </c>
      <c r="E176" s="7" t="n">
        <v>1</v>
      </c>
      <c r="F176" s="7" t="s">
        <v>22</v>
      </c>
      <c r="G176" s="7" t="s">
        <v>33</v>
      </c>
      <c r="H176" s="7" t="s">
        <v>185</v>
      </c>
      <c r="I176" s="7" t="s">
        <v>186</v>
      </c>
    </row>
    <row r="177" customFormat="false" ht="15" hidden="false" customHeight="false" outlineLevel="0" collapsed="false">
      <c r="A177" s="7" t="n">
        <v>30</v>
      </c>
      <c r="B177" s="6" t="s">
        <v>132</v>
      </c>
      <c r="C177" s="7" t="s">
        <v>133</v>
      </c>
      <c r="D177" s="7" t="n">
        <v>113</v>
      </c>
      <c r="E177" s="7" t="n">
        <v>2</v>
      </c>
      <c r="F177" s="7" t="s">
        <v>23</v>
      </c>
      <c r="G177" s="7" t="s">
        <v>30</v>
      </c>
      <c r="H177" s="7" t="s">
        <v>184</v>
      </c>
      <c r="I177" s="7" t="s">
        <v>185</v>
      </c>
    </row>
    <row r="178" customFormat="false" ht="15" hidden="false" customHeight="false" outlineLevel="0" collapsed="false">
      <c r="A178" s="7" t="n">
        <v>30</v>
      </c>
      <c r="B178" s="6" t="s">
        <v>132</v>
      </c>
      <c r="C178" s="7" t="s">
        <v>133</v>
      </c>
      <c r="D178" s="7" t="n">
        <v>113</v>
      </c>
      <c r="E178" s="7" t="n">
        <v>3</v>
      </c>
      <c r="F178" s="7" t="s">
        <v>24</v>
      </c>
      <c r="G178" s="7" t="s">
        <v>33</v>
      </c>
      <c r="H178" s="7" t="s">
        <v>185</v>
      </c>
      <c r="I178" s="7" t="s">
        <v>186</v>
      </c>
    </row>
    <row r="179" customFormat="false" ht="15" hidden="false" customHeight="false" outlineLevel="0" collapsed="false">
      <c r="A179" s="7" t="n">
        <v>30</v>
      </c>
      <c r="B179" s="6" t="s">
        <v>132</v>
      </c>
      <c r="C179" s="7" t="s">
        <v>133</v>
      </c>
      <c r="D179" s="7" t="n">
        <v>113</v>
      </c>
      <c r="E179" s="7" t="n">
        <v>4</v>
      </c>
      <c r="F179" s="7" t="s">
        <v>25</v>
      </c>
      <c r="G179" s="7" t="s">
        <v>30</v>
      </c>
      <c r="H179" s="7" t="s">
        <v>184</v>
      </c>
      <c r="I179" s="7" t="s">
        <v>185</v>
      </c>
    </row>
    <row r="180" customFormat="false" ht="15" hidden="false" customHeight="false" outlineLevel="0" collapsed="false">
      <c r="A180" s="7" t="n">
        <v>30</v>
      </c>
      <c r="B180" s="6" t="s">
        <v>132</v>
      </c>
      <c r="C180" s="7" t="s">
        <v>133</v>
      </c>
      <c r="D180" s="7" t="n">
        <v>113</v>
      </c>
      <c r="E180" s="7" t="n">
        <v>5</v>
      </c>
      <c r="F180" s="7" t="s">
        <v>26</v>
      </c>
      <c r="G180" s="7" t="s">
        <v>33</v>
      </c>
      <c r="H180" s="7" t="s">
        <v>185</v>
      </c>
      <c r="I180" s="7" t="s">
        <v>186</v>
      </c>
    </row>
    <row r="181" customFormat="false" ht="15" hidden="false" customHeight="false" outlineLevel="0" collapsed="false">
      <c r="A181" s="7" t="n">
        <v>30</v>
      </c>
      <c r="B181" s="6" t="s">
        <v>132</v>
      </c>
      <c r="C181" s="7" t="s">
        <v>133</v>
      </c>
      <c r="D181" s="7" t="n">
        <v>113</v>
      </c>
      <c r="E181" s="7" t="n">
        <v>7</v>
      </c>
      <c r="F181" s="7" t="s">
        <v>28</v>
      </c>
      <c r="G181" s="7" t="s">
        <v>30</v>
      </c>
      <c r="H181" s="7" t="s">
        <v>184</v>
      </c>
      <c r="I181" s="7" t="s">
        <v>185</v>
      </c>
    </row>
  </sheetData>
  <autoFilter ref="A1:I18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2026-09-24T10:24:00Z</dcterms:created>
  <dc:creator>openpyxl</dc:creator>
  <dc:description/>
  <dc:language>en-US</dc:language>
  <cp:lastModifiedBy/>
  <dcterms:modified xsi:type="dcterms:W3CDTF">2026-09-24T10:24:00Z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